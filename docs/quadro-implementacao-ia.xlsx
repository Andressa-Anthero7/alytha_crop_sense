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Quadro de trabalho" sheetId="2" state="visible" r:id="rId2"/>
    <sheet name="Marcos de entrega" sheetId="3" state="visible" r:id="rId3"/>
    <sheet name="Guia e decisões" sheetId="4" state="visible" r:id="rId4"/>
    <sheet name="Registro 15-10" sheetId="5" state="visible" r:id="rId5"/>
    <sheet name="Ciclo soja 16-10" sheetId="6" state="visible" r:id="rId6"/>
    <sheet name="Rodada 16-10 soja" sheetId="7" state="visible" r:id="rId7"/>
  </sheets>
  <definedNames>
    <definedName name="_xlnm.Print_Titles" localSheetId="0">'Visão geral'!$1:$1</definedName>
    <definedName name="_xlnm.Print_Titles" localSheetId="1">'Quadro de trabalho'!$1:$1</definedName>
    <definedName name="_xlnm.Print_Titles" localSheetId="2">'Marcos de entrega'!$1:$1</definedName>
    <definedName name="_xlnm.Print_Titles" localSheetId="3">'Guia e decisões'!$1:$1</definedName>
    <definedName name="_xlnm._FilterDatabase" localSheetId="5" hidden="1">'Ciclo soja 16-10'!$A$1:$K$23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245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FE6F1"/>
        </patternFill>
      </fill>
    </dxf>
    <dxf>
      <fill>
        <patternFill patternType="solid">
          <fgColor rgb="00FFD166"/>
        </patternFill>
      </fill>
    </dxf>
    <dxf>
      <fill>
        <patternFill patternType="solid">
          <fgColor rgb="00C9BAFF"/>
        </patternFill>
      </fill>
    </dxf>
    <dxf>
      <fill>
        <patternFill patternType="solid">
          <fgColor rgb="008BD5B5"/>
        </patternFill>
      </fill>
    </dxf>
    <dxf>
      <fill>
        <patternFill patternType="solid">
          <fgColor rgb="00F5A3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QuadroIA" displayName="QuadroIA" ref="A1:N32" headerRowCount="1">
  <autoFilter ref="A1:N32"/>
  <tableColumns count="14">
    <tableColumn id="1" name="ID"/>
    <tableColumn id="2" name="Grupo / fase"/>
    <tableColumn id="3" name="Entrega"/>
    <tableColumn id="4" name="Prioridade"/>
    <tableColumn id="5" name="Status"/>
    <tableColumn id="6" name="Responsável sugerido"/>
    <tableColumn id="7" name="Dependências"/>
    <tableColumn id="8" name="Disponibilidade"/>
    <tableColumn id="9" name="Esforço estimado (dias)"/>
    <tableColumn id="10" name="Critério de aceite"/>
    <tableColumn id="11" name="Próxima ação"/>
    <tableColumn id="12" name="Início planejado"/>
    <tableColumn id="13" name="Fim planejado"/>
    <tableColumn id="14" name="Evidência / 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objetivo-ia-analitica.md" TargetMode="External" Id="rId1" /><Relationship Type="http://schemas.openxmlformats.org/officeDocument/2006/relationships/hyperlink" Target="plano-producao.md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5" customWidth="1" min="2" max="2"/>
  </cols>
  <sheetData>
    <row r="1" ht="34" customHeight="1">
      <c r="A1" s="1" t="inlineStr">
        <is>
          <t>ALYTHA · PLANO DE IMPLEMENTAÇÃO DA IA</t>
        </is>
      </c>
      <c r="B1" s="1" t="inlineStr">
        <is>
          <t>Valor / orientação</t>
        </is>
      </c>
    </row>
    <row r="2" ht="48" customHeight="1">
      <c r="A2" s="2" t="inlineStr">
        <is>
          <t>Atualizado em</t>
        </is>
      </c>
      <c r="B2" s="5" t="n">
        <v>46311</v>
      </c>
    </row>
    <row r="3" ht="48" customHeight="1">
      <c r="A3" s="2" t="inlineStr">
        <is>
          <t>Objetivo</t>
        </is>
      </c>
      <c r="B3" s="2" t="inlineStr">
        <is>
          <t>IA conversacional que busca, processa, cruza e explica evidências agrícolas.</t>
        </is>
      </c>
    </row>
    <row r="4" ht="48" customHeight="1">
      <c r="A4" s="2" t="inlineStr">
        <is>
          <t>Prontidão</t>
        </is>
      </c>
      <c r="B4" s="2" t="inlineStr">
        <is>
          <t>14 de 31 entregas concluídas; 5 em andamento, 1 em revisão, 9 bloqueadas e 2 a fazer. Pesquisa do ciclo inicial; validação agronômica pendente.</t>
        </is>
      </c>
    </row>
    <row r="5" ht="48" customHeight="1">
      <c r="A5" s="2" t="inlineStr">
        <is>
          <t>Total de entregas</t>
        </is>
      </c>
      <c r="B5" s="2">
        <f>COUNTA('Quadro de trabalho'!A2:A500)</f>
        <v/>
      </c>
    </row>
    <row r="6" ht="48" customHeight="1">
      <c r="A6" s="2" t="inlineStr">
        <is>
          <t>Concluídas</t>
        </is>
      </c>
      <c r="B6" s="2">
        <f>COUNTIF('Quadro de trabalho'!E2:E500,"Concluído")</f>
        <v/>
      </c>
    </row>
    <row r="7" ht="48" customHeight="1">
      <c r="A7" s="2" t="inlineStr">
        <is>
          <t>Bloqueadas</t>
        </is>
      </c>
      <c r="B7" s="2">
        <f>COUNTIF('Quadro de trabalho'!E2:E500,"Bloqueado")</f>
        <v/>
      </c>
    </row>
    <row r="8" ht="48" customHeight="1">
      <c r="A8" s="2" t="inlineStr">
        <is>
          <t>Progresso por quantidade</t>
        </is>
      </c>
      <c r="B8" s="4">
        <f>IFERROR(B6/B5,0)</f>
        <v/>
      </c>
    </row>
    <row r="9" ht="48" customHeight="1">
      <c r="A9" s="2" t="inlineStr">
        <is>
          <t>Primeiro incremento</t>
        </is>
      </c>
      <c r="B9" s="2" t="inlineStr">
        <is>
          <t>IA-01 a IA-09: base local, ferramentas, histórico, direção, janela e avaliação.</t>
        </is>
      </c>
    </row>
    <row r="10" ht="48" customHeight="1">
      <c r="A10" s="2" t="inlineStr">
        <is>
          <t>Primeira ação</t>
        </is>
      </c>
      <c r="B10" s="2" t="inlineStr">
        <is>
          <t>IA-13: referências regionais revisadas; IA-24 a IA-26: operação e isolamento; IA-27: revisão humana.</t>
        </is>
      </c>
    </row>
    <row r="11" ht="48" customHeight="1">
      <c r="A11" s="2" t="inlineStr">
        <is>
          <t>Restrição Sentinel</t>
        </is>
      </c>
      <c r="B11" s="2" t="inlineStr">
        <is>
          <t>Sem novas consultas até a virada outubro/novembro; retomada depende de acesso efetivo.</t>
        </is>
      </c>
    </row>
    <row r="12" ht="48" customHeight="1">
      <c r="A12" s="2" t="inlineStr">
        <is>
          <t>Base local conhecida</t>
        </is>
      </c>
      <c r="B12" s="2" t="inlineStr">
        <is>
          <t>3 GeoTIFFs NDVI + máscara, 98 × 222 pixels; 6 metadados NDVI; RGB original ausente.</t>
        </is>
      </c>
    </row>
    <row r="13" ht="48" customHeight="1">
      <c r="A13" s="2" t="inlineStr">
        <is>
          <t>Sem campo nesta fase</t>
        </is>
      </c>
      <c r="B13" s="2" t="inlineStr">
        <is>
          <t>Conclusões exploratórias; sem acurácia agronômica comprovada.</t>
        </is>
      </c>
    </row>
    <row r="14" ht="48" customHeight="1">
      <c r="A14" s="2" t="inlineStr">
        <is>
          <t>Estimativas</t>
        </is>
      </c>
      <c r="B14" s="2" t="inlineStr">
        <is>
          <t>Dias de trabalho preliminares, não datas prometidas. Não incluem espera externa nem custos.</t>
        </is>
      </c>
    </row>
    <row r="15" ht="48" customHeight="1">
      <c r="A15" s="2" t="inlineStr">
        <is>
          <t>Responsáveis</t>
        </is>
      </c>
      <c r="B15" s="2" t="inlineStr">
        <is>
          <t>Sugestões de execução/revisão; sem atribuição externa automática.</t>
        </is>
      </c>
    </row>
    <row r="16" ht="48" customHeight="1">
      <c r="A16" s="2" t="inlineStr">
        <is>
          <t>Uso</t>
        </is>
      </c>
      <c r="B16" s="2" t="inlineStr">
        <is>
          <t>Filtre grupo, status e prioridade. Preencha datas ao assumir a entrega; registre evidência antes de concluir.</t>
        </is>
      </c>
    </row>
    <row r="17" ht="48" customHeight="1">
      <c r="A17" s="2" t="inlineStr">
        <is>
          <t>Dependências</t>
        </is>
      </c>
      <c r="B17" s="2" t="inlineStr">
        <is>
          <t>Iniciar entrega dependente após revisar o aceite das predecessoras.</t>
        </is>
      </c>
    </row>
    <row r="18" ht="48" customHeight="1">
      <c r="A18" s="2" t="inlineStr">
        <is>
          <t>Documento de referência</t>
        </is>
      </c>
      <c r="B18" s="2" t="inlineStr">
        <is>
          <t>objetivo-ia-analitica.md</t>
        </is>
      </c>
    </row>
    <row r="19" ht="48" customHeight="1">
      <c r="A19" s="2" t="inlineStr">
        <is>
          <t>Plano de produção</t>
        </is>
      </c>
      <c r="B19" s="2" t="inlineStr">
        <is>
          <t>plano-producao.md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19" r:id="rId2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14" customWidth="1" min="4" max="4"/>
    <col width="19" customWidth="1" min="5" max="5"/>
    <col width="24" customWidth="1" min="6" max="6"/>
    <col width="26" customWidth="1" min="7" max="7"/>
    <col width="22" customWidth="1" min="8" max="8"/>
    <col width="22" customWidth="1" min="9" max="9"/>
    <col width="85" customWidth="1" min="10" max="10"/>
    <col width="65" customWidth="1" min="11" max="11"/>
    <col width="20" customWidth="1" min="12" max="12"/>
    <col width="20" customWidth="1" min="13" max="13"/>
    <col width="60" customWidth="1" min="14" max="14"/>
  </cols>
  <sheetData>
    <row r="1" ht="34" customHeight="1">
      <c r="A1" s="1" t="inlineStr">
        <is>
          <t>ID</t>
        </is>
      </c>
      <c r="B1" s="1" t="inlineStr">
        <is>
          <t>Grupo / fase</t>
        </is>
      </c>
      <c r="C1" s="1" t="inlineStr">
        <is>
          <t>Entrega</t>
        </is>
      </c>
      <c r="D1" s="1" t="inlineStr">
        <is>
          <t>Prioridade</t>
        </is>
      </c>
      <c r="E1" s="1" t="inlineStr">
        <is>
          <t>Status</t>
        </is>
      </c>
      <c r="F1" s="1" t="inlineStr">
        <is>
          <t>Responsável sugerido</t>
        </is>
      </c>
      <c r="G1" s="1" t="inlineStr">
        <is>
          <t>Dependências</t>
        </is>
      </c>
      <c r="H1" s="1" t="inlineStr">
        <is>
          <t>Disponibilidade</t>
        </is>
      </c>
      <c r="I1" s="1" t="inlineStr">
        <is>
          <t>Esforço estimado (dias)</t>
        </is>
      </c>
      <c r="J1" s="1" t="inlineStr">
        <is>
          <t>Critério de aceite</t>
        </is>
      </c>
      <c r="K1" s="1" t="inlineStr">
        <is>
          <t>Próxima ação</t>
        </is>
      </c>
      <c r="L1" s="1" t="inlineStr">
        <is>
          <t>Início planejado</t>
        </is>
      </c>
      <c r="M1" s="1" t="inlineStr">
        <is>
          <t>Fim planejado</t>
        </is>
      </c>
      <c r="N1" s="1" t="inlineStr">
        <is>
          <t>Evidência / observações</t>
        </is>
      </c>
    </row>
    <row r="2" ht="30" customHeight="1">
      <c r="A2" s="2" t="inlineStr">
        <is>
          <t>IA-01</t>
        </is>
      </c>
      <c r="B2" s="2" t="inlineStr">
        <is>
          <t>1 · Base local</t>
        </is>
      </c>
      <c r="C2" s="2" t="inlineStr">
        <is>
          <t>Inventário de áreas, imagens e períodos</t>
        </is>
      </c>
      <c r="D2" s="2" t="inlineStr">
        <is>
          <t>Crítica</t>
        </is>
      </c>
      <c r="E2" s="2" t="inlineStr">
        <is>
          <t>Concluído</t>
        </is>
      </c>
      <c r="F2" s="2" t="inlineStr">
        <is>
          <t>Codex</t>
        </is>
      </c>
      <c r="G2" s="2" t="inlineStr"/>
      <c r="H2" s="2" t="inlineStr">
        <is>
          <t>Local</t>
        </is>
      </c>
      <c r="I2" s="2" t="n">
        <v>1</v>
      </c>
      <c r="J2" s="2" t="inlineStr">
        <is>
          <t>Listar arquivos, bandas, datas, qualidade e lacunas sem chamadas Sentinel.</t>
        </is>
      </c>
      <c r="K2" s="2" t="inlineStr">
        <is>
          <t>Concluído; seguir com ampliação do contrato de evidências (IA-02).</t>
        </is>
      </c>
      <c r="L2" s="5" t="n">
        <v>46310</v>
      </c>
      <c r="M2" s="5" t="n">
        <v>46310</v>
      </c>
      <c r="N2" s="2" t="inlineStr">
        <is>
          <t>Inventário validado na base real após correção SQLite: 17.602 históricos (inclui versões), 6 prévias NDVI, 3 rasters, nenhuma pendência de acesso. HTTP 200. Lista limitada a 100 históricos. docs/inventario-local.md e docs/banco-migrations.md</t>
        </is>
      </c>
    </row>
    <row r="3" ht="100" customHeight="1">
      <c r="A3" s="2" t="inlineStr">
        <is>
          <t>IA-02</t>
        </is>
      </c>
      <c r="B3" s="2" t="inlineStr">
        <is>
          <t>1 · Base local</t>
        </is>
      </c>
      <c r="C3" s="2" t="inlineStr">
        <is>
          <t>Contrato de evidências e proveniência</t>
        </is>
      </c>
      <c r="D3" s="2" t="inlineStr">
        <is>
          <t>Crítica</t>
        </is>
      </c>
      <c r="E3" s="2" t="inlineStr">
        <is>
          <t>Concluído</t>
        </is>
      </c>
      <c r="F3" s="2" t="inlineStr">
        <is>
          <t>Codex</t>
        </is>
      </c>
      <c r="G3" s="2" t="inlineStr">
        <is>
          <t>IA-01</t>
        </is>
      </c>
      <c r="H3" s="2" t="inlineStr">
        <is>
          <t>Local</t>
        </is>
      </c>
      <c r="I3" s="2" t="n">
        <v>2</v>
      </c>
      <c r="J3" s="2" t="inlineStr">
        <is>
          <t>Cada evidência identifica área, período, fonte, método, versão e qualidade.</t>
        </is>
      </c>
      <c r="K3" s="2" t="inlineStr">
        <is>
          <t>Revisar contratos ao adicionar novas fontes.</t>
        </is>
      </c>
      <c r="L3" s="5" t="n">
        <v>46310</v>
      </c>
      <c r="M3" s="5" t="n">
        <v>46310</v>
      </c>
      <c r="N3" s="2" t="inlineStr">
        <is>
          <t>Envelope v1 implementado para histórico, prévia e raster no inventário. Inclui recorte, período, origem, recurso, versão, qualidade e disponibilidade. Migração dos outros módulos pendente.
Rodada 15/10/2026: Contrato v1 nas ferramentas históricas, espaciais, janela e clima; projeção das evidências antigas explicita qualidade e versões desconhecidas. app/evidence_contract.py; docs/analises-conversacionais.md.</t>
        </is>
      </c>
    </row>
    <row r="4" ht="100" customHeight="1">
      <c r="A4" s="2" t="inlineStr">
        <is>
          <t>IA-03</t>
        </is>
      </c>
      <c r="B4" s="2" t="inlineStr">
        <is>
          <t>1 · Base local</t>
        </is>
      </c>
      <c r="C4" s="2" t="inlineStr">
        <is>
          <t>Ferramentas analíticas na conversa</t>
        </is>
      </c>
      <c r="D4" s="2" t="inlineStr">
        <is>
          <t>Crítica</t>
        </is>
      </c>
      <c r="E4" s="2" t="inlineStr">
        <is>
          <t>Concluído</t>
        </is>
      </c>
      <c r="F4" s="2" t="inlineStr">
        <is>
          <t>Codex</t>
        </is>
      </c>
      <c r="G4" s="2" t="inlineStr">
        <is>
          <t>IA-02</t>
        </is>
      </c>
      <c r="H4" s="2" t="inlineStr">
        <is>
          <t>Local</t>
        </is>
      </c>
      <c r="I4" s="2" t="n">
        <v>3</v>
      </c>
      <c r="J4" s="2" t="inlineStr">
        <is>
          <t>Pedido gera trabalho identificável; resposta usa resultado e informa falhas.</t>
        </is>
      </c>
      <c r="K4" s="2" t="inlineStr">
        <is>
          <t>Usar os recibos de trabalho para acompanhar análises.</t>
        </is>
      </c>
      <c r="L4" s="5" t="n">
        <v>46310</v>
      </c>
      <c r="M4" s="5" t="n">
        <v>46310</v>
      </c>
      <c r="N4" s="2" t="inlineStr">
        <is>
          <t>Perguntas de inventário executam consulta local verificável e retornam evidências, sem provedor ou acesso externo. Outras ferramentas e ciclo de trabalhos ainda pendentes.
Rodada 15/10/2026: Ferramentas executam resultados locais sem provedor; recibos persistentes com ID e estado final, erros explícitos e GET /api/assistant/work/{id}. app/analytical_assistant.py; testes e demonstração real salvos.</t>
        </is>
      </c>
    </row>
    <row r="5" ht="100" customHeight="1">
      <c r="A5" s="2" t="inlineStr">
        <is>
          <t>IA-04</t>
        </is>
      </c>
      <c r="B5" s="2" t="inlineStr">
        <is>
          <t>1 · Base local</t>
        </is>
      </c>
      <c r="C5" s="2" t="inlineStr">
        <is>
          <t>Contexto de área, safra e período</t>
        </is>
      </c>
      <c r="D5" s="2" t="inlineStr">
        <is>
          <t>Alta</t>
        </is>
      </c>
      <c r="E5" s="2" t="inlineStr">
        <is>
          <t>Concluído</t>
        </is>
      </c>
      <c r="F5" s="2" t="inlineStr">
        <is>
          <t>Codex</t>
        </is>
      </c>
      <c r="G5" s="2" t="inlineStr">
        <is>
          <t>IA-03</t>
        </is>
      </c>
      <c r="H5" s="2" t="inlineStr">
        <is>
          <t>Local</t>
        </is>
      </c>
      <c r="I5" s="2" t="n">
        <v>2</v>
      </c>
      <c r="J5" s="2" t="inlineStr">
        <is>
          <t>Perguntas seguintes preservam contexto; troca explícita de área prevalece.</t>
        </is>
      </c>
      <c r="K5" s="2" t="inlineStr">
        <is>
          <t>Revisar continuidade nas conversas de demonstração.</t>
        </is>
      </c>
      <c r="L5" s="5" t="n">
        <v>46310</v>
      </c>
      <c r="M5" s="5" t="n">
        <v>46310</v>
      </c>
      <c r="N5" s="2" t="inlineStr">
        <is>
          <t>Rodada 15/10/2026: Contexto opaco por até 24h, seleção atual prevalece; cultura/safra/corte explícitos preservados na interface. Testes de mudança de área, corte e safra passaram. app/conversation_context.py.</t>
        </is>
      </c>
    </row>
    <row r="6" ht="100" customHeight="1">
      <c r="A6" s="2" t="inlineStr">
        <is>
          <t>IA-05</t>
        </is>
      </c>
      <c r="B6" s="2" t="inlineStr">
        <is>
          <t>2 · Análise integrada</t>
        </is>
      </c>
      <c r="C6" s="2" t="inlineStr">
        <is>
          <t>Comparação histórica pela conversa</t>
        </is>
      </c>
      <c r="D6" s="2" t="inlineStr">
        <is>
          <t>Crítica</t>
        </is>
      </c>
      <c r="E6" s="2" t="inlineStr">
        <is>
          <t>Concluído</t>
        </is>
      </c>
      <c r="F6" s="2" t="inlineStr">
        <is>
          <t>Codex</t>
        </is>
      </c>
      <c r="G6" s="2" t="inlineStr">
        <is>
          <t>IA-03; IA-04</t>
        </is>
      </c>
      <c r="H6" s="2" t="inlineStr">
        <is>
          <t>Local</t>
        </is>
      </c>
      <c r="I6" s="2" t="n">
        <v>3</v>
      </c>
      <c r="J6" s="2" t="inlineStr">
        <is>
          <t>Comparar períodos disponíveis e explicitar histórico insuficiente sem inventar dados.</t>
        </is>
      </c>
      <c r="K6" s="2" t="inlineStr">
        <is>
          <t>Revisar a utilidade da comparação com parceiros.</t>
        </is>
      </c>
      <c r="L6" s="5" t="n">
        <v>46310</v>
      </c>
      <c r="M6" s="5" t="n">
        <v>46310</v>
      </c>
      <c r="N6" s="2" t="inlineStr">
        <is>
          <t>Rodada 15/10/2026: Comparação sazonal exposta na conversa; cobertura e anos insuficientes ficam inconclusivos. Referência real: 4 observações recentes, seis anos comparáveis. data/outputs/assistant/offline-evaluation.json.</t>
        </is>
      </c>
    </row>
    <row r="7" ht="100" customHeight="1">
      <c r="A7" s="2" t="inlineStr">
        <is>
          <t>IA-06</t>
        </is>
      </c>
      <c r="B7" s="2" t="inlineStr">
        <is>
          <t>2 · Análise integrada</t>
        </is>
      </c>
      <c r="C7" s="2" t="inlineStr">
        <is>
          <t>Progressão direcional com cv2</t>
        </is>
      </c>
      <c r="D7" s="2" t="inlineStr">
        <is>
          <t>Crítica</t>
        </is>
      </c>
      <c r="E7" s="2" t="inlineStr">
        <is>
          <t>Concluído</t>
        </is>
      </c>
      <c r="F7" s="2" t="inlineStr">
        <is>
          <t>Codex</t>
        </is>
      </c>
      <c r="G7" s="2" t="inlineStr">
        <is>
          <t>IA-02; IA-03</t>
        </is>
      </c>
      <c r="H7" s="2" t="inlineStr">
        <is>
          <t>Local</t>
        </is>
      </c>
      <c r="I7" s="2" t="n">
        <v>3</v>
      </c>
      <c r="J7" s="2" t="inlineStr">
        <is>
          <t>Resposta referencia setores e datas calculados; ausência de direção permanece explícita.</t>
        </is>
      </c>
      <c r="K7" s="2" t="inlineStr">
        <is>
          <t>Validar interpretação das frentes com dados de campo.</t>
        </is>
      </c>
      <c r="L7" s="5" t="n">
        <v>46310</v>
      </c>
      <c r="M7" s="5" t="n">
        <v>46310</v>
      </c>
      <c r="N7" s="2" t="inlineStr">
        <is>
          <t>Rodada 15/10/2026: Direção usa resultado espacial salvo ou recalcula três rasters exatos locais. Informa setores/datas ou ausência de direção. Caso real não detectou direção; teste com frente datada passou. app/local_spatial.py.</t>
        </is>
      </c>
    </row>
    <row r="8" ht="100" customHeight="1">
      <c r="A8" s="2" t="inlineStr">
        <is>
          <t>IA-07</t>
        </is>
      </c>
      <c r="B8" s="2" t="inlineStr">
        <is>
          <t>2 · Análise integrada</t>
        </is>
      </c>
      <c r="C8" s="2" t="inlineStr">
        <is>
          <t>Janela de plantio declarada</t>
        </is>
      </c>
      <c r="D8" s="2" t="inlineStr">
        <is>
          <t>Alta</t>
        </is>
      </c>
      <c r="E8" s="2" t="inlineStr">
        <is>
          <t>Concluído</t>
        </is>
      </c>
      <c r="F8" s="2" t="inlineStr">
        <is>
          <t>Codex</t>
        </is>
      </c>
      <c r="G8" s="2" t="inlineStr">
        <is>
          <t>IA-04</t>
        </is>
      </c>
      <c r="H8" s="2" t="inlineStr">
        <is>
          <t>Local</t>
        </is>
      </c>
      <c r="I8" s="2" t="n">
        <v>2</v>
      </c>
      <c r="J8" s="2" t="inlineStr">
        <is>
          <t>Cruzar data com janela e apresentar origem; não presumir calendário oficial.</t>
        </is>
      </c>
      <c r="K8" s="2" t="inlineStr">
        <is>
          <t>Informar janelas reais do produtor quando disponíveis.</t>
        </is>
      </c>
      <c r="L8" s="5" t="n">
        <v>46310</v>
      </c>
      <c r="M8" s="5" t="n">
        <v>46310</v>
      </c>
      <c r="N8" s="2" t="inlineStr">
        <is>
          <t>Rodada 15/10/2026: Declaração pela conversa com datas e origem, histórico imutável, cultura/safra, comparação dentro/fora e declaração retrospectiva. Não presume calendário oficial. Testes passaram.</t>
        </is>
      </c>
    </row>
    <row r="9" ht="100" customHeight="1">
      <c r="A9" s="2" t="inlineStr">
        <is>
          <t>IA-08</t>
        </is>
      </c>
      <c r="B9" s="2" t="inlineStr">
        <is>
          <t>2 · Análise integrada</t>
        </is>
      </c>
      <c r="C9" s="2" t="inlineStr">
        <is>
          <t>Síntese de hipóteses e alternativas</t>
        </is>
      </c>
      <c r="D9" s="2" t="inlineStr">
        <is>
          <t>Crítica</t>
        </is>
      </c>
      <c r="E9" s="2" t="inlineStr">
        <is>
          <t>Concluído</t>
        </is>
      </c>
      <c r="F9" s="2" t="inlineStr">
        <is>
          <t>Codex</t>
        </is>
      </c>
      <c r="G9" s="2" t="inlineStr">
        <is>
          <t>IA-05; IA-06; IA-07</t>
        </is>
      </c>
      <c r="H9" s="2" t="inlineStr">
        <is>
          <t>Local</t>
        </is>
      </c>
      <c r="I9" s="2" t="n">
        <v>3</v>
      </c>
      <c r="J9" s="2" t="inlineStr">
        <is>
          <t>Separar medição, hipótese, divergência e pendência; não inferir trajeto da máquina.</t>
        </is>
      </c>
      <c r="K9" s="2" t="inlineStr">
        <is>
          <t>Revisar hipóteses com referências independentes.</t>
        </is>
      </c>
      <c r="L9" s="5" t="n">
        <v>46310</v>
      </c>
      <c r="M9" s="5" t="n">
        <v>46310</v>
      </c>
      <c r="N9" s="2" t="inlineStr">
        <is>
          <t>Rodada 15/10/2026: Síntese separa medições, hipóteses/alternativas, divergências, lacunas e verificação seguinte. Nenhuma trajetória de máquina é inferida; clima em cache pode complementar. Demonstração real salva.</t>
        </is>
      </c>
    </row>
    <row r="10" ht="100" customHeight="1">
      <c r="A10" s="2" t="inlineStr">
        <is>
          <t>IA-09</t>
        </is>
      </c>
      <c r="B10" s="2" t="inlineStr">
        <is>
          <t>2 · Análise integrada</t>
        </is>
      </c>
      <c r="C10" s="2" t="inlineStr">
        <is>
          <t>Avaliação do primeiro incremento</t>
        </is>
      </c>
      <c r="D10" s="2" t="inlineStr">
        <is>
          <t>Crítica</t>
        </is>
      </c>
      <c r="E10" s="2" t="inlineStr">
        <is>
          <t>Concluído</t>
        </is>
      </c>
      <c r="F10" s="2" t="inlineStr">
        <is>
          <t>Codex</t>
        </is>
      </c>
      <c r="G10" s="2" t="inlineStr">
        <is>
          <t>IA-08</t>
        </is>
      </c>
      <c r="H10" s="2" t="inlineStr">
        <is>
          <t>Local</t>
        </is>
      </c>
      <c r="I10" s="2" t="n">
        <v>2</v>
      </c>
      <c r="J10" s="2" t="inlineStr">
        <is>
          <t>Casos com lacunas, sem direção e fora da janela passam; relatório fica salvo.</t>
        </is>
      </c>
      <c r="K10" s="2" t="inlineStr">
        <is>
          <t>Submeter a demonstração à revisão humana em IA-27.</t>
        </is>
      </c>
      <c r="L10" s="5" t="n">
        <v>46310</v>
      </c>
      <c r="M10" s="5" t="n">
        <v>46310</v>
      </c>
      <c r="N10" s="2" t="inlineStr">
        <is>
          <t>Rodada 15/10/2026: Avaliação técnica offline salva com regressão completa e quatro casos sobre o histórico real; inclui ausência de direção, lacunas, baixa cobertura e fora da janela. data/outputs/assistant/offline-evaluation.json.</t>
        </is>
      </c>
    </row>
    <row r="11" ht="100" customHeight="1">
      <c r="A11" s="2" t="inlineStr">
        <is>
          <t>IA-10</t>
        </is>
      </c>
      <c r="B11" s="2" t="inlineStr">
        <is>
          <t>3 · Fontes externas</t>
        </is>
      </c>
      <c r="C11" s="2" t="inlineStr">
        <is>
          <t>Seleção e contrato meteorológico</t>
        </is>
      </c>
      <c r="D11" s="2" t="inlineStr">
        <is>
          <t>Alta</t>
        </is>
      </c>
      <c r="E11" s="2" t="inlineStr">
        <is>
          <t>Concluído</t>
        </is>
      </c>
      <c r="F11" s="2" t="inlineStr">
        <is>
          <t>Codex</t>
        </is>
      </c>
      <c r="G11" s="2" t="inlineStr">
        <is>
          <t>IA-02</t>
        </is>
      </c>
      <c r="H11" s="2" t="inlineStr">
        <is>
          <t>Internet</t>
        </is>
      </c>
      <c r="I11" s="2" t="n">
        <v>2</v>
      </c>
      <c r="J11" s="2" t="inlineStr">
        <is>
          <t>Documentar cobertura, licença, escala, unidades e disponibilidade da fonte escolhida.</t>
        </is>
      </c>
      <c r="K11" s="2" t="inlineStr">
        <is>
          <t>Revisar condições da fonte ao ampliar a operação.</t>
        </is>
      </c>
      <c r="L11" s="5" t="n">
        <v>46310</v>
      </c>
      <c r="M11" s="5" t="n">
        <v>46310</v>
      </c>
      <c r="N11" s="2" t="inlineStr">
        <is>
          <t>Rodada 15/10/2026: NASA POWER selecionada: reanálise de grade 0,5° × 0,625°, diária UTC, chuva mm/dia e temperatura °C; origem, política de uso/citação, revisões e disponibilidade documentadas em analises-conversacionais.md.</t>
        </is>
      </c>
    </row>
    <row r="12" ht="100" customHeight="1">
      <c r="A12" s="2" t="inlineStr">
        <is>
          <t>IA-11</t>
        </is>
      </c>
      <c r="B12" s="2" t="inlineStr">
        <is>
          <t>3 · Fontes externas</t>
        </is>
      </c>
      <c r="C12" s="2" t="inlineStr">
        <is>
          <t>Coleta e cruzamento meteorológico</t>
        </is>
      </c>
      <c r="D12" s="2" t="inlineStr">
        <is>
          <t>Alta</t>
        </is>
      </c>
      <c r="E12" s="2" t="inlineStr">
        <is>
          <t>Concluído</t>
        </is>
      </c>
      <c r="F12" s="2" t="inlineStr">
        <is>
          <t>Codex</t>
        </is>
      </c>
      <c r="G12" s="2" t="inlineStr">
        <is>
          <t>IA-10; IA-08</t>
        </is>
      </c>
      <c r="H12" s="2" t="inlineStr">
        <is>
          <t>Internet</t>
        </is>
      </c>
      <c r="I12" s="2" t="n">
        <v>4</v>
      </c>
      <c r="J12" s="2" t="inlineStr">
        <is>
          <t>Séries têm cache e origem; distinguir estação, grade, previsão e observação.</t>
        </is>
      </c>
      <c r="K12" s="2" t="inlineStr">
        <is>
          <t>Comparar a grade com medições de campo quando disponíveis.</t>
        </is>
      </c>
      <c r="L12" s="5" t="n">
        <v>46310</v>
      </c>
      <c r="M12" s="5" t="n">
        <v>46310</v>
      </c>
      <c r="N12" s="2" t="inlineStr">
        <is>
          <t>Rodada 15/10/2026: Adaptador NASA POWER com cache por célula/período, unidades verificadas, sentinelas e lacunas. Consulta real de 30 dias e cruzamento com janelas NDVI; distingue grade de estação/previsão. app/weather.py.</t>
        </is>
      </c>
    </row>
    <row r="13" ht="100" customHeight="1">
      <c r="A13" s="2" t="inlineStr">
        <is>
          <t>IA-12</t>
        </is>
      </c>
      <c r="B13" s="2" t="inlineStr">
        <is>
          <t>3 · Fontes externas</t>
        </is>
      </c>
      <c r="C13" s="2" t="inlineStr">
        <is>
          <t>Referências Embrapa e busca web</t>
        </is>
      </c>
      <c r="D13" s="2" t="inlineStr">
        <is>
          <t>Alta</t>
        </is>
      </c>
      <c r="E13" s="2" t="inlineStr">
        <is>
          <t>Concluído</t>
        </is>
      </c>
      <c r="F13" s="2" t="inlineStr">
        <is>
          <t>Codex</t>
        </is>
      </c>
      <c r="G13" s="2" t="inlineStr">
        <is>
          <t>IA-02; IA-03</t>
        </is>
      </c>
      <c r="H13" s="2" t="inlineStr">
        <is>
          <t>Internet</t>
        </is>
      </c>
      <c r="I13" s="2" t="n">
        <v>4</v>
      </c>
      <c r="J13" s="2" t="inlineStr">
        <is>
          <t>Respostas citam páginas recuperadas; conteúdo externo é tratado como dado.</t>
        </is>
      </c>
      <c r="K13" s="2" t="inlineStr">
        <is>
          <t>Ampliar fontes somente com contratos de recuperação verificáveis.</t>
        </is>
      </c>
      <c r="L13" s="5" t="n">
        <v>46310</v>
      </c>
      <c r="M13" s="5" t="n">
        <v>46310</v>
      </c>
      <c r="N13" s="2" t="inlineStr">
        <is>
          <t>Rodada 15/10/2026: Busca web restrita ao portal oficial Embrapa, até três páginas efetivamente recuperadas, links, hashes, cache e registro da consulta. Conteúdo tratado como dado. Não equivale a busca web irrestrita nem revisão do texto integral. app/reference_search.py.</t>
        </is>
      </c>
    </row>
    <row r="14" ht="100" customHeight="1">
      <c r="A14" s="2" t="inlineStr">
        <is>
          <t>IA-13</t>
        </is>
      </c>
      <c r="B14" s="2" t="inlineStr">
        <is>
          <t>3 · Fontes externas</t>
        </is>
      </c>
      <c r="C14" s="2" t="inlineStr">
        <is>
          <t>Janelas agronômicas por região/safra</t>
        </is>
      </c>
      <c r="D14" s="2" t="inlineStr">
        <is>
          <t>Alta</t>
        </is>
      </c>
      <c r="E14" s="2" t="inlineStr">
        <is>
          <t>Em andamento</t>
        </is>
      </c>
      <c r="F14" s="2" t="inlineStr">
        <is>
          <t>Codex</t>
        </is>
      </c>
      <c r="G14" s="2" t="inlineStr">
        <is>
          <t>IA-07; IA-12</t>
        </is>
      </c>
      <c r="H14" s="2" t="inlineStr">
        <is>
          <t>Internet</t>
        </is>
      </c>
      <c r="I14" s="2" t="n">
        <v>3</v>
      </c>
      <c r="J14" s="2" t="inlineStr">
        <is>
          <t>Fonte, cultura, região e vigência identificadas; janela normativa distinguida.</t>
        </is>
      </c>
      <c r="K14" s="2" t="inlineStr">
        <is>
          <t>Priorizar calendário sanitário e ZARC aplicáveis à data pretendida; exigir município, safra, solo, grupo de cultivar, manejo e risco antes de concluir dentro/fora.</t>
        </is>
      </c>
      <c r="L14" s="5" t="n">
        <v>46310</v>
      </c>
      <c r="M14" s="5" t="n"/>
      <c r="N14" s="2" t="inlineStr">
        <is>
          <t>Rodada 15/10/2026: Importador e comparação regional implementados/testados, com origem, cultura, safra, região, vigência e tipos separados. Portaria oficial MT 2026/27 localizada. Sem carga de intervalos aplicáveis: condições do talhão ainda desconhecidas. app/regional_calendar.py.
Rodada 16/10/2026 · ciclo da soja: Escopo ampliado para decisão de plantio. Reutilizar app/regional_calendar.py; não tratar declaração do usuário como conferência oficial. docs/rodada-2026-10-16-soja.md.</t>
        </is>
      </c>
    </row>
    <row r="15" ht="100" customHeight="1">
      <c r="A15" s="2" t="inlineStr">
        <is>
          <t>IA-14</t>
        </is>
      </c>
      <c r="B15" s="2" t="inlineStr">
        <is>
          <t>3 · Fontes externas</t>
        </is>
      </c>
      <c r="C15" s="2" t="inlineStr">
        <is>
          <t>SATVeg / AgroAPI</t>
        </is>
      </c>
      <c r="D15" s="2" t="inlineStr">
        <is>
          <t>Média</t>
        </is>
      </c>
      <c r="E15" s="2" t="inlineStr">
        <is>
          <t>Bloqueado</t>
        </is>
      </c>
      <c r="F15" s="2" t="inlineStr">
        <is>
          <t>A definir</t>
        </is>
      </c>
      <c r="G15" s="2" t="inlineStr">
        <is>
          <t>IA-02</t>
        </is>
      </c>
      <c r="H15" s="2" t="inlineStr">
        <is>
          <t>Credencial externa</t>
        </is>
      </c>
      <c r="I15" s="2" t="n">
        <v>3</v>
      </c>
      <c r="J15" s="2" t="inlineStr">
        <is>
          <t>Consulta real validada com acesso; escala MODIS permanece explícita.</t>
        </is>
      </c>
      <c r="K15" s="2" t="inlineStr">
        <is>
          <t>Renovar/corrigir acesso AgroAPI e repetir validação real.</t>
        </is>
      </c>
      <c r="L15" s="5" t="n">
        <v>46310</v>
      </c>
      <c r="M15" s="5" t="n"/>
      <c r="N15" s="2" t="inlineStr">
        <is>
          <t>Rodada 15/10/2026: Token presente no .env, sem exposição de conteúdo. Consulta real em Polygon local compatível retornou HTTP 401; nenhum dado SATVeg foi simulado. data/outputs/assistant/satveg-access.json.</t>
        </is>
      </c>
    </row>
    <row r="16" ht="30" customHeight="1">
      <c r="A16" s="2" t="inlineStr">
        <is>
          <t>IA-15</t>
        </is>
      </c>
      <c r="B16" s="2" t="inlineStr">
        <is>
          <t>4 · Satélites</t>
        </is>
      </c>
      <c r="C16" s="2" t="inlineStr">
        <is>
          <t>Retomada controlada Sentinel-2</t>
        </is>
      </c>
      <c r="D16" s="2" t="inlineStr">
        <is>
          <t>Alta</t>
        </is>
      </c>
      <c r="E16" s="2" t="inlineStr">
        <is>
          <t>Bloqueado</t>
        </is>
      </c>
      <c r="F16" s="2" t="inlineStr">
        <is>
          <t>Codex</t>
        </is>
      </c>
      <c r="G16" s="2" t="inlineStr">
        <is>
          <t>IA-01</t>
        </is>
      </c>
      <c r="H16" s="2" t="inlineStr">
        <is>
          <t>Acesso Sentinel</t>
        </is>
      </c>
      <c r="I16" s="2" t="n">
        <v>2</v>
      </c>
      <c r="J16" s="2" t="inlineStr">
        <is>
          <t>Acesso efetivo conferido após virada do mês; limites e cache respeitados.</t>
        </is>
      </c>
      <c r="K16" s="2" t="inlineStr">
        <is>
          <t>Aguardar disponibilidade; não agendar consulta automática.</t>
        </is>
      </c>
      <c r="L16" s="5" t="n"/>
      <c r="M16" s="5" t="n"/>
      <c r="N16" s="2" t="n"/>
    </row>
    <row r="17" ht="30" customHeight="1">
      <c r="A17" s="2" t="inlineStr">
        <is>
          <t>IA-16</t>
        </is>
      </c>
      <c r="B17" s="2" t="inlineStr">
        <is>
          <t>4 · Satélites</t>
        </is>
      </c>
      <c r="C17" s="2" t="inlineStr">
        <is>
          <t>Bandas Sentinel-2 e cor natural</t>
        </is>
      </c>
      <c r="D17" s="2" t="inlineStr">
        <is>
          <t>Alta</t>
        </is>
      </c>
      <c r="E17" s="2" t="inlineStr">
        <is>
          <t>Bloqueado</t>
        </is>
      </c>
      <c r="F17" s="2" t="inlineStr">
        <is>
          <t>Codex</t>
        </is>
      </c>
      <c r="G17" s="2" t="inlineStr">
        <is>
          <t>IA-15; IA-02</t>
        </is>
      </c>
      <c r="H17" s="2" t="inlineStr">
        <is>
          <t>Acesso Sentinel</t>
        </is>
      </c>
      <c r="I17" s="2" t="n">
        <v>4</v>
      </c>
      <c r="J17" s="2" t="inlineStr">
        <is>
          <t>Bandas pertinentes preservadas com máscaras, datas e resolução nativa.</t>
        </is>
      </c>
      <c r="K17" s="2" t="inlineStr">
        <is>
          <t>Definir aquisição e persistência por caso de uso.</t>
        </is>
      </c>
      <c r="L17" s="5" t="n"/>
      <c r="M17" s="5" t="n"/>
      <c r="N17" s="2" t="n"/>
    </row>
    <row r="18" ht="30" customHeight="1">
      <c r="A18" s="2" t="inlineStr">
        <is>
          <t>IA-17</t>
        </is>
      </c>
      <c r="B18" s="2" t="inlineStr">
        <is>
          <t>4 · Satélites</t>
        </is>
      </c>
      <c r="C18" s="2" t="inlineStr">
        <is>
          <t>Pipeline Sentinel-1</t>
        </is>
      </c>
      <c r="D18" s="2" t="inlineStr">
        <is>
          <t>Alta</t>
        </is>
      </c>
      <c r="E18" s="2" t="inlineStr">
        <is>
          <t>Bloqueado</t>
        </is>
      </c>
      <c r="F18" s="2" t="inlineStr">
        <is>
          <t>Codex</t>
        </is>
      </c>
      <c r="G18" s="2" t="inlineStr">
        <is>
          <t>IA-15; IA-02</t>
        </is>
      </c>
      <c r="H18" s="2" t="inlineStr">
        <is>
          <t>Acesso Sentinel</t>
        </is>
      </c>
      <c r="I18" s="2" t="n">
        <v>6</v>
      </c>
      <c r="J18" s="2" t="inlineStr">
        <is>
          <t>Registrar órbita, polarização, processamento e alinhamento; validar série radar.</t>
        </is>
      </c>
      <c r="K18" s="2" t="inlineStr">
        <is>
          <t>Preparar contrato e testes radar; após liberação de aquisição, validar séries VV/VH de órbita compatível, processamento, qualidade e alinhamento com óptico/clima.</t>
        </is>
      </c>
      <c r="L18" s="5" t="n"/>
      <c r="M18" s="5" t="n"/>
      <c r="N18" s="2" t="inlineStr">
        <is>
          <t>Rodada 16/10/2026 · ciclo da soja: Prioridade: condição da superfície e mudanças compatíveis com umidade, sem conversão universal de dB em umidade ou aptidão. Pesquisa ESA/Copernicus registrada; aquisição permanece bloqueada até acesso autorizado/efetivo.</t>
        </is>
      </c>
    </row>
    <row r="19" ht="100" customHeight="1">
      <c r="A19" s="2" t="inlineStr">
        <is>
          <t>IA-18</t>
        </is>
      </c>
      <c r="B19" s="2" t="inlineStr">
        <is>
          <t>4 · Satélites</t>
        </is>
      </c>
      <c r="C19" s="2" t="inlineStr">
        <is>
          <t>Fusão temporal radar, óptico e clima</t>
        </is>
      </c>
      <c r="D19" s="2" t="inlineStr">
        <is>
          <t>Alta</t>
        </is>
      </c>
      <c r="E19" s="2" t="inlineStr">
        <is>
          <t>Bloqueado</t>
        </is>
      </c>
      <c r="F19" s="2" t="inlineStr">
        <is>
          <t>Codex</t>
        </is>
      </c>
      <c r="G19" s="2" t="inlineStr">
        <is>
          <t>IA-11; IA-16; IA-17</t>
        </is>
      </c>
      <c r="H19" s="2" t="inlineStr">
        <is>
          <t>Acesso Sentinel</t>
        </is>
      </c>
      <c r="I19" s="2" t="n">
        <v>5</v>
      </c>
      <c r="J19" s="2" t="inlineStr">
        <is>
          <t>Comparar fontes compatíveis, apontar divergências e medir ganho sobre análise óptica.</t>
        </is>
      </c>
      <c r="K19" s="2" t="inlineStr">
        <is>
          <t>Comparar óptico + clima com óptico + clima + radar; medir utilidade para condição de plantio, sequência de cobertura e inconclusivos por etapa.</t>
        </is>
      </c>
      <c r="L19" s="5" t="n">
        <v>46310</v>
      </c>
      <c r="M19" s="5" t="n"/>
      <c r="N19" s="2" t="inlineStr">
        <is>
          <t>Rodada 15/10/2026: Clima disponível em IA-11. Fusão e medição de ganho continuam sem bandas Sentinel-1/2 compatíveis e validação. Respeitada restrição de novas consultas Sentinel até novembro.
Rodada 16/10/2026 · ciclo da soja: Protocolo proposto: mesma área, safra, disponibilidade temporal, qualidade e validação de campo. Radar não define janela oficial nem confirma plantio. Não iniciar coleta automática.</t>
        </is>
      </c>
    </row>
    <row r="20" ht="100" customHeight="1">
      <c r="A20" s="2" t="inlineStr">
        <is>
          <t>IA-19</t>
        </is>
      </c>
      <c r="B20" s="2" t="inlineStr">
        <is>
          <t>5 · Pesquisa e validação</t>
        </is>
      </c>
      <c r="C20" s="2" t="inlineStr">
        <is>
          <t>Exploração ML e versões candidatas</t>
        </is>
      </c>
      <c r="D20" s="2" t="inlineStr">
        <is>
          <t>Média</t>
        </is>
      </c>
      <c r="E20" s="2" t="inlineStr">
        <is>
          <t>Concluído</t>
        </is>
      </c>
      <c r="F20" s="2" t="inlineStr">
        <is>
          <t>Codex</t>
        </is>
      </c>
      <c r="G20" s="2" t="inlineStr">
        <is>
          <t>IA-09</t>
        </is>
      </c>
      <c r="H20" s="2" t="inlineStr">
        <is>
          <t>Local</t>
        </is>
      </c>
      <c r="I20" s="2" t="n">
        <v>3</v>
      </c>
      <c r="J20" s="2" t="inlineStr">
        <is>
          <t>Exploração reproduzível sem converter hipóteses em rótulos; métricas registradas.</t>
        </is>
      </c>
      <c r="K20" s="2" t="inlineStr">
        <is>
          <t>Comparar candidatos com outras áreas/safras independentes quando disponíveis.</t>
        </is>
      </c>
      <c r="L20" s="5" t="n">
        <v>46310</v>
      </c>
      <c r="M20" s="5" t="n">
        <v>46310</v>
      </c>
      <c r="N20" s="2" t="inlineStr">
        <is>
          <t>Rodada 15/10/2026: Experimento real versionado: 226 janelas, 158 iniciais e 68 posteriores, KMeans k=2/3/4, sementes e bibliotecas registradas; silhouette, estabilidade e distâncias. Sem rótulos de manejo nem promoção automática. app/ml_experiment.py; data/outputs/experiments/ml.</t>
        </is>
      </c>
    </row>
    <row r="21" ht="100" customHeight="1">
      <c r="A21" s="2" t="inlineStr">
        <is>
          <t>IA-20</t>
        </is>
      </c>
      <c r="B21" s="2" t="inlineStr">
        <is>
          <t>5 · Pesquisa e validação</t>
        </is>
      </c>
      <c r="C21" s="2" t="inlineStr">
        <is>
          <t>Experimento visual local NDVI</t>
        </is>
      </c>
      <c r="D21" s="2" t="inlineStr">
        <is>
          <t>Baixa</t>
        </is>
      </c>
      <c r="E21" s="2" t="inlineStr">
        <is>
          <t>Concluído</t>
        </is>
      </c>
      <c r="F21" s="2" t="inlineStr">
        <is>
          <t>Codex</t>
        </is>
      </c>
      <c r="G21" s="2" t="inlineStr">
        <is>
          <t>IA-01</t>
        </is>
      </c>
      <c r="H21" s="2" t="inlineStr">
        <is>
          <t>Local</t>
        </is>
      </c>
      <c r="I21" s="2" t="n">
        <v>1</v>
      </c>
      <c r="J21" s="2" t="inlineStr">
        <is>
          <t>Comparar ampliações e legibilidade; preservar valores; não chamar interpolação de super-resolução IA.</t>
        </is>
      </c>
      <c r="K21" s="2" t="inlineStr">
        <is>
          <t>Revisar legibilidade das visualizações geradas.</t>
        </is>
      </c>
      <c r="L21" s="5" t="n">
        <v>46310</v>
      </c>
      <c r="M21" s="5" t="n">
        <v>46310</v>
      </c>
      <c r="N21" s="2" t="inlineStr">
        <is>
          <t>Rodada 15/10/2026: Comparação local nearest/bilinear/bicúbica em RGB; original 98×222, 21.248 pixels válidos. Hash antes/depois idêntico; máscara reaplicada. Sem super-resolução IA. data/outputs/experiments/ndvi; app/ndvi_visual_experiment.py.</t>
        </is>
      </c>
    </row>
    <row r="22" ht="30" customHeight="1">
      <c r="A22" s="2" t="inlineStr">
        <is>
          <t>IA-21</t>
        </is>
      </c>
      <c r="B22" s="2" t="inlineStr">
        <is>
          <t>5 · Pesquisa e validação</t>
        </is>
      </c>
      <c r="C22" s="2" t="inlineStr">
        <is>
          <t>Super-resolução experimental</t>
        </is>
      </c>
      <c r="D22" s="2" t="inlineStr">
        <is>
          <t>Baixa</t>
        </is>
      </c>
      <c r="E22" s="2" t="inlineStr">
        <is>
          <t>Bloqueado</t>
        </is>
      </c>
      <c r="F22" s="2" t="inlineStr">
        <is>
          <t>Codex</t>
        </is>
      </c>
      <c r="G22" s="2" t="inlineStr">
        <is>
          <t>IA-16</t>
        </is>
      </c>
      <c r="H22" s="2" t="inlineStr">
        <is>
          <t>Bandas e modelo</t>
        </is>
      </c>
      <c r="I22" s="2" t="n">
        <v>4</v>
      </c>
      <c r="J22" s="2" t="inlineStr">
        <is>
          <t>Comparar original, ampliação convencional e modelo; conclusão restrita a aparência/consistência.</t>
        </is>
      </c>
      <c r="K22" s="2" t="inlineStr">
        <is>
          <t>Selecionar modelo e protocolo após obter bandas adequadas.</t>
        </is>
      </c>
      <c r="L22" s="5" t="n"/>
      <c r="M22" s="5" t="n"/>
      <c r="N22" s="2" t="n"/>
    </row>
    <row r="23" ht="30" customHeight="1">
      <c r="A23" s="2" t="inlineStr">
        <is>
          <t>IA-22</t>
        </is>
      </c>
      <c r="B23" s="2" t="inlineStr">
        <is>
          <t>5 · Pesquisa e validação</t>
        </is>
      </c>
      <c r="C23" s="2" t="inlineStr">
        <is>
          <t>Referências reais com parceiros</t>
        </is>
      </c>
      <c r="D23" s="2" t="inlineStr">
        <is>
          <t>Alta</t>
        </is>
      </c>
      <c r="E23" s="2" t="inlineStr">
        <is>
          <t>Bloqueado</t>
        </is>
      </c>
      <c r="F23" s="2" t="inlineStr">
        <is>
          <t>Andressa</t>
        </is>
      </c>
      <c r="G23" s="2" t="inlineStr"/>
      <c r="H23" s="2" t="inlineStr">
        <is>
          <t>Dados de campo</t>
        </is>
      </c>
      <c r="I23" s="2" t="n"/>
      <c r="J23" s="2" t="inlineStr">
        <is>
          <t>Polígono autorizado, cultura, safra e eventos datados disponíveis para comparação.</t>
        </is>
      </c>
      <c r="K23" s="2" t="inlineStr">
        <is>
          <t>Articular áreas e registros com parceiros.</t>
        </is>
      </c>
      <c r="L23" s="5" t="n"/>
      <c r="M23" s="5" t="n"/>
      <c r="N23" s="2" t="n"/>
    </row>
    <row r="24" ht="30" customHeight="1">
      <c r="A24" s="2" t="inlineStr">
        <is>
          <t>IA-23</t>
        </is>
      </c>
      <c r="B24" s="2" t="inlineStr">
        <is>
          <t>5 · Pesquisa e validação</t>
        </is>
      </c>
      <c r="C24" s="2" t="inlineStr">
        <is>
          <t>Validação agronômica independente</t>
        </is>
      </c>
      <c r="D24" s="2" t="inlineStr">
        <is>
          <t>Alta</t>
        </is>
      </c>
      <c r="E24" s="2" t="inlineStr">
        <is>
          <t>Bloqueado</t>
        </is>
      </c>
      <c r="F24" s="2" t="inlineStr">
        <is>
          <t>A definir</t>
        </is>
      </c>
      <c r="G24" s="2" t="inlineStr">
        <is>
          <t>IA-18; IA-19; IA-22</t>
        </is>
      </c>
      <c r="H24" s="2" t="inlineStr">
        <is>
          <t>Dados de campo</t>
        </is>
      </c>
      <c r="I24" s="2" t="n"/>
      <c r="J24" s="2" t="inlineStr">
        <is>
          <t>Avaliar áreas/safras independentes e registrar acertos, erros e inconclusivos.</t>
        </is>
      </c>
      <c r="K24" s="2" t="inlineStr">
        <is>
          <t>Definir validação por etapa, com áreas/safras independentes e registros datados; incluir janela, condição de solo, plantio/rebrota e causas alternativas.</t>
        </is>
      </c>
      <c r="L24" s="5" t="n"/>
      <c r="M24" s="5" t="n"/>
      <c r="N24" s="2" t="inlineStr">
        <is>
          <t>Rodada 16/10/2026 · ciclo da soja: Acurácia agronômica permanece pendente. Catálogo e regras exploratórias não são validação de diagnóstico, produtividade ou manejo.</t>
        </is>
      </c>
    </row>
    <row r="25" ht="100" customHeight="1">
      <c r="A25" s="2" t="inlineStr">
        <is>
          <t>IA-24</t>
        </is>
      </c>
      <c r="B25" s="2" t="inlineStr">
        <is>
          <t>6 · Operação</t>
        </is>
      </c>
      <c r="C25" s="2" t="inlineStr">
        <is>
          <t>Fila durável e retomada</t>
        </is>
      </c>
      <c r="D25" s="2" t="inlineStr">
        <is>
          <t>Alta</t>
        </is>
      </c>
      <c r="E25" s="2" t="inlineStr">
        <is>
          <t>Em andamento</t>
        </is>
      </c>
      <c r="F25" s="2" t="inlineStr">
        <is>
          <t>Codex</t>
        </is>
      </c>
      <c r="G25" s="2" t="inlineStr">
        <is>
          <t>IA-09</t>
        </is>
      </c>
      <c r="H25" s="2" t="inlineStr">
        <is>
          <t>Infraestrutura</t>
        </is>
      </c>
      <c r="I25" s="2" t="n">
        <v>5</v>
      </c>
      <c r="J25" s="2" t="inlineStr">
        <is>
          <t>Reinício não perde trabalho nem duplica consumo; limites por fonte aplicados.</t>
        </is>
      </c>
      <c r="K25" s="2" t="inlineStr">
        <is>
          <t>Migrar coletores externos e aplicar limites/deduplicação por fornecedor.</t>
        </is>
      </c>
      <c r="L25" s="5" t="n">
        <v>46310</v>
      </c>
      <c r="M25" s="5" t="n"/>
      <c r="N25" s="2" t="inlineStr">
        <is>
          <t>Pré-requisito corrigido em 15/10: banco liberado, backup preservado, 4 migrations aplicadas, WAL e inscrição visual em lotes de 100 com índice. 266 testes passaram. Fila durável e separação de workers previstas nesta entrega continuam pendentes.
Rodada 15/10/2026: Fila durável local com migration 5, worker separado, deduplicação, reservas renováveis, retomada e proteção contra conclusão obsoleta. Testes de concorrência/reinício e smoke HTTP→worker→resultado passaram. Coletores externos ainda não migrados. docs/operacao-local.md.</t>
        </is>
      </c>
    </row>
    <row r="26" ht="100" customHeight="1">
      <c r="A26" s="2" t="inlineStr">
        <is>
          <t>IA-25</t>
        </is>
      </c>
      <c r="B26" s="2" t="inlineStr">
        <is>
          <t>6 · Operação</t>
        </is>
      </c>
      <c r="C26" s="2" t="inlineStr">
        <is>
          <t>Login e isolamento por produtor</t>
        </is>
      </c>
      <c r="D26" s="2" t="inlineStr">
        <is>
          <t>Crítica</t>
        </is>
      </c>
      <c r="E26" s="2" t="inlineStr">
        <is>
          <t>Em andamento</t>
        </is>
      </c>
      <c r="F26" s="2" t="inlineStr">
        <is>
          <t>Codex</t>
        </is>
      </c>
      <c r="G26" s="2" t="inlineStr">
        <is>
          <t>IA-24</t>
        </is>
      </c>
      <c r="H26" s="2" t="inlineStr">
        <is>
          <t>Infraestrutura</t>
        </is>
      </c>
      <c r="I26" s="2" t="n">
        <v>5</v>
      </c>
      <c r="J26" s="2" t="inlineStr">
        <is>
          <t>Produtor A não acessa áreas, eventos ou arquivos privados de B.</t>
        </is>
      </c>
      <c r="K26" s="2" t="inlineStr">
        <is>
          <t>Definir provedor de identidade e revisar organizações, usuários e reivindicação dos registros existentes.</t>
        </is>
      </c>
      <c r="L26" s="5" t="n">
        <v>46310</v>
      </c>
      <c r="M26" s="5" t="n"/>
      <c r="N26" s="2" t="inlineStr">
        <is>
          <t>Rodada 15/10/2026: Modelo de identidade/propriedade e testes de autorização necessários documentados. Login, isolamento e autorização em endpoints/arquivos/workers ainda não implementados. Não atribuir dados antigos ao primeiro usuário. docs/operacao-local.md.</t>
        </is>
      </c>
    </row>
    <row r="27" ht="100" customHeight="1">
      <c r="A27" s="2" t="inlineStr">
        <is>
          <t>IA-26</t>
        </is>
      </c>
      <c r="B27" s="2" t="inlineStr">
        <is>
          <t>6 · Operação</t>
        </is>
      </c>
      <c r="C27" s="2" t="inlineStr">
        <is>
          <t>Homologação, backup e observabilidade</t>
        </is>
      </c>
      <c r="D27" s="2" t="inlineStr">
        <is>
          <t>Alta</t>
        </is>
      </c>
      <c r="E27" s="2" t="inlineStr">
        <is>
          <t>Em andamento</t>
        </is>
      </c>
      <c r="F27" s="2" t="inlineStr">
        <is>
          <t>Codex</t>
        </is>
      </c>
      <c r="G27" s="2" t="inlineStr">
        <is>
          <t>IA-24; IA-25</t>
        </is>
      </c>
      <c r="H27" s="2" t="inlineStr">
        <is>
          <t>Infraestrutura</t>
        </is>
      </c>
      <c r="I27" s="2" t="n">
        <v>4</v>
      </c>
      <c r="J27" s="2" t="inlineStr">
        <is>
          <t>Restauração demonstrada; medir falhas, latência e consumo em homologação.</t>
        </is>
      </c>
      <c r="K27" s="2" t="inlineStr">
        <is>
          <t>Executar build Docker, verificar volumes, configurar backup externo e medir operação completa.</t>
        </is>
      </c>
      <c r="L27" s="5" t="n">
        <v>46310</v>
      </c>
      <c r="M27" s="5" t="n"/>
      <c r="N27" s="2" t="inlineStr">
        <is>
          <t>Rodada 15/10/2026: Backup core real restaurado em pasta nova: 61 arquivos, integridade, hashes e contagens por tabela conferidos. Endpoint de saúde e métricas locais; dependências fixadas e receita Docker/Compose. Docker ausente: ambiente Linux não homologado. docs/operacao-local.md.</t>
        </is>
      </c>
    </row>
    <row r="28" ht="100" customHeight="1">
      <c r="A28" s="2" t="inlineStr">
        <is>
          <t>IA-27</t>
        </is>
      </c>
      <c r="B28" s="2" t="inlineStr">
        <is>
          <t>6 · Operação</t>
        </is>
      </c>
      <c r="C28" s="2" t="inlineStr">
        <is>
          <t>Demonstração integrada e revisão</t>
        </is>
      </c>
      <c r="D28" s="2" t="inlineStr">
        <is>
          <t>Alta</t>
        </is>
      </c>
      <c r="E28" s="2" t="inlineStr">
        <is>
          <t>Em revisão</t>
        </is>
      </c>
      <c r="F28" s="2" t="inlineStr">
        <is>
          <t>Andressa</t>
        </is>
      </c>
      <c r="G28" s="2" t="inlineStr">
        <is>
          <t>IA-09; IA-11; IA-12</t>
        </is>
      </c>
      <c r="H28" s="2" t="inlineStr">
        <is>
          <t>Revisão</t>
        </is>
      </c>
      <c r="I28" s="2" t="n">
        <v>1</v>
      </c>
      <c r="J28" s="2" t="inlineStr">
        <is>
          <t>Conversa demonstra ferramentas e evidências; pendências ficam registradas.</t>
        </is>
      </c>
      <c r="K28" s="2" t="inlineStr">
        <is>
          <t>Andressa revisar a demonstração e registrar utilidade, falhas e prioridades.</t>
        </is>
      </c>
      <c r="L28" s="5" t="n">
        <v>46310</v>
      </c>
      <c r="M28" s="5" t="n"/>
      <c r="N28" s="2" t="inlineStr">
        <is>
          <t>Rodada 15/10/2026: Quatro conversas reais locais salvas; clima e pesquisa Embrapa validados externamente, navegação/layout verificados no navegador. Resultado técnico pronto para revisão humana; nenhuma revisão de Andressa presumida. data/outputs/assistant/offline-evaluation.json.</t>
        </is>
      </c>
    </row>
    <row r="29" ht="30" customHeight="1">
      <c r="A29" s="2" t="inlineStr">
        <is>
          <t>IA-28</t>
        </is>
      </c>
      <c r="B29" s="2" t="inlineStr">
        <is>
          <t>4 · Satélites</t>
        </is>
      </c>
      <c r="C29" s="2" t="inlineStr">
        <is>
          <t>Índices EVI, SAVI/MSAVI e NDMI</t>
        </is>
      </c>
      <c r="D29" s="2" t="inlineStr">
        <is>
          <t>Média</t>
        </is>
      </c>
      <c r="E29" s="2" t="inlineStr">
        <is>
          <t>Bloqueado</t>
        </is>
      </c>
      <c r="F29" s="2" t="inlineStr">
        <is>
          <t>Codex</t>
        </is>
      </c>
      <c r="G29" s="2" t="inlineStr">
        <is>
          <t>IA-16</t>
        </is>
      </c>
      <c r="H29" s="2" t="inlineStr">
        <is>
          <t>Acesso Sentinel</t>
        </is>
      </c>
      <c r="I29" s="2" t="n"/>
      <c r="J29" s="2" t="inlineStr">
        <is>
          <t>Calcular índices com bandas originais, máscaras e resolução identificadas; comparar com NDVI no mesmo recorte e expor evidências à Alytha.</t>
        </is>
      </c>
      <c r="K29" s="2" t="inlineStr">
        <is>
          <t>Retomar em novembro de 2026 após disponibilidade efetiva das bandas; começar pela comparação NDVI × SAVI/MSAVI.</t>
        </is>
      </c>
      <c r="L29" s="5" t="n"/>
      <c r="M29" s="5" t="n"/>
      <c r="N29" s="2" t="inlineStr">
        <is>
          <t>Registrado por Andressa em 15/10/2026. Sem data fechada ou consulta automática. Saldo OpenAI e cota Sentinel são dependências distintas. docs/indices-espectrais-retomada.md</t>
        </is>
      </c>
    </row>
    <row r="30" ht="150" customHeight="1">
      <c r="A30" s="2" t="inlineStr">
        <is>
          <t>IA-29</t>
        </is>
      </c>
      <c r="B30" s="2" t="inlineStr">
        <is>
          <t>3 · Fontes externas</t>
        </is>
      </c>
      <c r="C30" s="2" t="inlineStr">
        <is>
          <t>Janela e radar na conclusão de condição para plantio</t>
        </is>
      </c>
      <c r="D30" s="2" t="inlineStr">
        <is>
          <t>Alta</t>
        </is>
      </c>
      <c r="E30" s="2" t="inlineStr">
        <is>
          <t>A fazer</t>
        </is>
      </c>
      <c r="F30" s="2" t="inlineStr">
        <is>
          <t>Codex</t>
        </is>
      </c>
      <c r="G30" s="2" t="inlineStr">
        <is>
          <t>IA-13; IA-17; IA-18</t>
        </is>
      </c>
      <c r="H30" s="2" t="inlineStr">
        <is>
          <t>Referências oficiais + acesso radar</t>
        </is>
      </c>
      <c r="I30" s="2" t="n"/>
      <c r="J30" s="2" t="inlineStr">
        <is>
          <t>Conclusão separa janela sanitária, ZARC aplicável e condição física/climática; cada fator tem fonte, vigência e qualidade. Ausência não vira aptidão; comparar com observações independentes.</t>
        </is>
      </c>
      <c r="K30" s="2" t="inlineStr">
        <is>
          <t>Conectar referências revisadas ao card; em seguida incorporar evidência radar validada, preservando a conclusão simples e as lacunas.</t>
        </is>
      </c>
      <c r="L30" s="5" t="n"/>
      <c r="M30" s="5" t="n"/>
      <c r="N30" s="2" t="inlineStr">
        <is>
          <t>Rodada 16/10/2026 · ciclo da soja: Incluído a pedido do usuário. Triagem clima/solo/NDVI já existe; integração oficial e Sentinel-1 ainda não concluídas. docs/condicoes-plantio.md; docs/rodada-2026-10-16-soja.md.</t>
        </is>
      </c>
    </row>
    <row r="31" ht="150" customHeight="1">
      <c r="A31" s="2" t="inlineStr">
        <is>
          <t>IA-30</t>
        </is>
      </c>
      <c r="B31" s="2" t="inlineStr">
        <is>
          <t>5 · Pesquisa e validação</t>
        </is>
      </c>
      <c r="C31" s="2" t="inlineStr">
        <is>
          <t>Pesquisa e catálogo do ciclo completo da soja</t>
        </is>
      </c>
      <c r="D31" s="2" t="inlineStr">
        <is>
          <t>Alta</t>
        </is>
      </c>
      <c r="E31" s="2" t="inlineStr">
        <is>
          <t>Em andamento</t>
        </is>
      </c>
      <c r="F31" s="2" t="inlineStr">
        <is>
          <t>Codex</t>
        </is>
      </c>
      <c r="G31" s="2" t="inlineStr">
        <is>
          <t>IA-12</t>
        </is>
      </c>
      <c r="H31" s="2" t="inlineStr">
        <is>
          <t>Local + referências oficiais</t>
        </is>
      </c>
      <c r="I31" s="2" t="n"/>
      <c r="J31" s="2" t="inlineStr">
        <is>
          <t>Catalogar etapas e manejos transversais com fontes, evidências possíveis, limites e dados de campo; revisão agronômica antes de regras operacionais.</t>
        </is>
      </c>
      <c r="K31" s="2" t="inlineStr">
        <is>
          <t>Revisar 22 temas do catálogo com responsável agronômico; aprofundar primeiro janela/solo/implantação e preparar casos reais.</t>
        </is>
      </c>
      <c r="L31" s="5" t="n"/>
      <c r="M31" s="5" t="n"/>
      <c r="N31" s="2" t="inlineStr">
        <is>
          <t>Rodada 16/10/2026 · ciclo da soja: Pesquisa inicial e catálogo navegável entregues; estudo aprofundado, revisão agronômica e reconhecimento automático por etapa permanecem pendentes. web/soy-study.json; docs/ciclo-soja-estudo.md.</t>
        </is>
      </c>
    </row>
    <row r="32" ht="150" customHeight="1">
      <c r="A32" s="2" t="inlineStr">
        <is>
          <t>IA-31</t>
        </is>
      </c>
      <c r="B32" s="2" t="inlineStr">
        <is>
          <t>2 · Análise integrada</t>
        </is>
      </c>
      <c r="C32" s="2" t="inlineStr">
        <is>
          <t>Acompanhamento por etapa da safra e manejos</t>
        </is>
      </c>
      <c r="D32" s="2" t="inlineStr">
        <is>
          <t>Alta</t>
        </is>
      </c>
      <c r="E32" s="2" t="inlineStr">
        <is>
          <t>A fazer</t>
        </is>
      </c>
      <c r="F32" s="2" t="inlineStr">
        <is>
          <t>Codex</t>
        </is>
      </c>
      <c r="G32" s="2" t="inlineStr">
        <is>
          <t>IA-30; IA-29; IA-22; IA-23</t>
        </is>
      </c>
      <c r="H32" s="2" t="inlineStr">
        <is>
          <t>Dados de campo + validação</t>
        </is>
      </c>
      <c r="I32" s="2" t="n"/>
      <c r="J32" s="2" t="inlineStr">
        <is>
          <t>Cada etapa tem entrada, regra versionada, conclusão curta, alternativas, teste positivo/negativo/lacuna e validação independente. Não inferir R1–R8, praga, doença ou aplicação só por NDVI.</t>
        </is>
      </c>
      <c r="K32" s="2" t="inlineStr">
        <is>
          <t>Definir contrato de safra e eventos por etapa; implementar primeiro implantação/estande e água, com evidências e ação de verificação.</t>
        </is>
      </c>
      <c r="L32" s="5" t="n"/>
      <c r="M32" s="5" t="n"/>
      <c r="N32" s="2" t="inlineStr">
        <is>
          <t>Rodada 16/10/2026 · ciclo da soja: Escopo do planejamento à pós-colheita; não equivale a treinamento concluído nem a identificação automática disponível.</t>
        </is>
      </c>
    </row>
  </sheetData>
  <conditionalFormatting sqref="E2:E500">
    <cfRule type="cellIs" priority="1" operator="equal" dxfId="0">
      <formula>"A fazer"</formula>
    </cfRule>
    <cfRule type="cellIs" priority="2" operator="equal" dxfId="1">
      <formula>"Em andamento"</formula>
    </cfRule>
    <cfRule type="cellIs" priority="3" operator="equal" dxfId="2">
      <formula>"Em revisão"</formula>
    </cfRule>
    <cfRule type="cellIs" priority="4" operator="equal" dxfId="3">
      <formula>"Concluído"</formula>
    </cfRule>
    <cfRule type="cellIs" priority="5" operator="equal" dxfId="4">
      <formula>"Bloqueado"</formula>
    </cfRule>
  </conditionalFormatting>
  <conditionalFormatting sqref="D2:D500">
    <cfRule type="cellIs" priority="6" operator="equal" dxfId="4">
      <formula>"Crítica"</formula>
    </cfRule>
    <cfRule type="cellIs" priority="7" operator="equal" dxfId="1">
      <formula>"Alta"</formula>
    </cfRule>
    <cfRule type="cellIs" priority="8" operator="equal" dxfId="2">
      <formula>"Média"</formula>
    </cfRule>
    <cfRule type="cellIs" priority="9" operator="equal" dxfId="0">
      <formula>"Baixa"</formula>
    </cfRule>
  </conditionalFormatting>
  <dataValidations count="3">
    <dataValidation sqref="D2:D500" showDropDown="0" showInputMessage="0" showErrorMessage="1" allowBlank="1" errorTitle="Valor inválido" error="Selecione uma opção da lista." type="list">
      <formula1>"Crítica,Alta,Média,Baixa"</formula1>
    </dataValidation>
    <dataValidation sqref="E2:E500" showDropDown="0" showInputMessage="0" showErrorMessage="1" allowBlank="1" errorTitle="Valor inválido" error="Selecione uma opção da lista." type="list">
      <formula1>"A fazer,Em andamento,Em revisão,Concluído,Bloqueado"</formula1>
    </dataValidation>
    <dataValidation sqref="F2:F500" showDropDown="0" showInputMessage="0" showErrorMessage="1" allowBlank="1" errorTitle="Valor inválido" error="Selecione uma opção da lista." type="list">
      <formula1>"Codex,Andressa,A definir"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0" customWidth="1" min="3" max="3"/>
    <col width="30" customWidth="1" min="4" max="4"/>
  </cols>
  <sheetData>
    <row r="1" ht="34" customHeight="1">
      <c r="A1" s="1" t="inlineStr">
        <is>
          <t>Marco</t>
        </is>
      </c>
      <c r="B1" s="1" t="inlineStr">
        <is>
          <t>Entregas</t>
        </is>
      </c>
      <c r="C1" s="1" t="inlineStr">
        <is>
          <t>Condição de conclusão</t>
        </is>
      </c>
      <c r="D1" s="1" t="inlineStr">
        <is>
          <t>Situação</t>
        </is>
      </c>
    </row>
    <row r="2" ht="48" customHeight="1">
      <c r="A2" s="2" t="inlineStr">
        <is>
          <t>M1 · Assistência sobre base local</t>
        </is>
      </c>
      <c r="B2" s="2" t="inlineStr">
        <is>
          <t>IA-01 a IA-09</t>
        </is>
      </c>
      <c r="C2" s="2" t="inlineStr">
        <is>
          <t>Conversa compara dados locais e direção com evidências e lacunas.</t>
        </is>
      </c>
      <c r="D2" s="2" t="inlineStr">
        <is>
          <t>Concluído tecnicamente; validação agronômica pendente</t>
        </is>
      </c>
    </row>
    <row r="3" ht="48" customHeight="1">
      <c r="A3" s="2" t="inlineStr">
        <is>
          <t>M2 · Contexto externo</t>
        </is>
      </c>
      <c r="B3" s="2" t="inlineStr">
        <is>
          <t>IA-10 a IA-13</t>
        </is>
      </c>
      <c r="C3" s="2" t="inlineStr">
        <is>
          <t>Clima e referências recuperadas com origem, datas e escala.</t>
        </is>
      </c>
      <c r="D3" s="2" t="inlineStr">
        <is>
          <t>Em andamento · IA-13 parcial</t>
        </is>
      </c>
    </row>
    <row r="4" ht="48" customHeight="1">
      <c r="A4" s="2" t="inlineStr">
        <is>
          <t>M3 · Satélites integrados</t>
        </is>
      </c>
      <c r="B4" s="2" t="inlineStr">
        <is>
          <t>IA-15 a IA-18</t>
        </is>
      </c>
      <c r="C4" s="2" t="inlineStr">
        <is>
          <t>Óptico e radar processados e comparados com contexto meteorológico.</t>
        </is>
      </c>
      <c r="D4" s="2" t="inlineStr">
        <is>
          <t>Bloqueado por acesso Sentinel</t>
        </is>
      </c>
    </row>
    <row r="5" ht="48" customHeight="1">
      <c r="A5" s="2" t="inlineStr">
        <is>
          <t>M4 · Validação de campo</t>
        </is>
      </c>
      <c r="B5" s="2" t="inlineStr">
        <is>
          <t>IA-22; IA-23</t>
        </is>
      </c>
      <c r="C5" s="2" t="inlineStr">
        <is>
          <t>Protocolo independente executado com referências de parceiros.</t>
        </is>
      </c>
      <c r="D5" s="2" t="inlineStr">
        <is>
          <t>Bloqueado por dados de campo</t>
        </is>
      </c>
    </row>
    <row r="6" ht="48" customHeight="1">
      <c r="A6" s="2" t="inlineStr">
        <is>
          <t>M5 · Piloto em operação</t>
        </is>
      </c>
      <c r="B6" s="2" t="inlineStr">
        <is>
          <t>IA-24 a IA-27; revisão M4</t>
        </is>
      </c>
      <c r="C6" s="2" t="inlineStr">
        <is>
          <t>Ambiente isolado, recuperável e revisado para o escopo do piloto.</t>
        </is>
      </c>
      <c r="D6" s="2" t="inlineStr">
        <is>
          <t>Em andamento · operação parcial</t>
        </is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Tema</t>
        </is>
      </c>
      <c r="B1" s="1" t="inlineStr">
        <is>
          <t>Regra / decisão</t>
        </is>
      </c>
    </row>
    <row r="2" ht="48" customHeight="1">
      <c r="A2" s="2" t="inlineStr">
        <is>
          <t>Atualização da rodada</t>
        </is>
      </c>
      <c r="B2" s="2" t="inlineStr">
        <is>
          <t>Status revistos em 15/10/2026 com testes, execução real e evidências; itens parciais, dependências externas e revisão humana permanecem explícitos.</t>
        </is>
      </c>
    </row>
    <row r="3" ht="48" customHeight="1">
      <c r="A3" s="2" t="inlineStr">
        <is>
          <t>Esforço</t>
        </is>
      </c>
      <c r="B3" s="2" t="inlineStr">
        <is>
          <t>Estimativa preliminar em dias de trabalho. Linhas sem número dependem de escopo e disponibilidade externos.</t>
        </is>
      </c>
    </row>
    <row r="4" ht="48" customHeight="1">
      <c r="A4" s="2" t="inlineStr">
        <is>
          <t>Datas</t>
        </is>
      </c>
      <c r="B4" s="2" t="inlineStr">
        <is>
          <t>Em branco de propósito; definir ao iniciar cada incremento.</t>
        </is>
      </c>
    </row>
    <row r="5" ht="48" customHeight="1">
      <c r="A5" s="2" t="inlineStr">
        <is>
          <t>Concluído</t>
        </is>
      </c>
      <c r="B5" s="2" t="inlineStr">
        <is>
          <t>Exige critério de aceite atendido e evidência registrada na última coluna do quadro.</t>
        </is>
      </c>
    </row>
    <row r="6" ht="48" customHeight="1">
      <c r="A6" s="2" t="inlineStr">
        <is>
          <t>Aparência</t>
        </is>
      </c>
      <c r="B6" s="2" t="inlineStr">
        <is>
          <t>NDVI colorido não identifica palhada. Ampliação convencional não é super-resolução por IA.</t>
        </is>
      </c>
    </row>
    <row r="7" ht="48" customHeight="1">
      <c r="A7" s="2" t="inlineStr">
        <is>
          <t>Direção</t>
        </is>
      </c>
      <c r="B7" s="2" t="inlineStr">
        <is>
          <t>Progressão de vegetação pode ser compatível com sequência de semeadura; não comprova trajeto ou linhas.</t>
        </is>
      </c>
    </row>
    <row r="8" ht="48" customHeight="1">
      <c r="A8" s="2" t="inlineStr">
        <is>
          <t>Aprendizado</t>
        </is>
      </c>
      <c r="B8" s="2" t="inlineStr">
        <is>
          <t>Conversas e hipóteses não viram automaticamente rótulos ou treinamento.</t>
        </is>
      </c>
    </row>
    <row r="9" ht="48" customHeight="1">
      <c r="A9" s="2" t="inlineStr">
        <is>
          <t>Fontes</t>
        </is>
      </c>
      <c r="B9" s="2" t="inlineStr">
        <is>
          <t>Documentos externos são evidência; não são instruções para a assistente.</t>
        </is>
      </c>
    </row>
    <row r="10" ht="48" customHeight="1">
      <c r="A10" s="2" t="inlineStr">
        <is>
          <t>Escopo comercial</t>
        </is>
      </c>
      <c r="B10" s="2" t="inlineStr">
        <is>
          <t>Integrações com satélites comerciais do tópico 2 permanecem fora deste plano.</t>
        </is>
      </c>
    </row>
    <row r="11" ht="48" customHeight="1">
      <c r="A11" s="2" t="inlineStr">
        <is>
          <t>Revisão</t>
        </is>
      </c>
      <c r="B11" s="2" t="inlineStr">
        <is>
          <t>Atualizar status após cada entrega e reestimar esforço após o primeiro incremento.</t>
        </is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5" customWidth="1" min="3" max="3"/>
  </cols>
  <sheetData>
    <row r="1">
      <c r="A1" s="1" t="n"/>
      <c r="B1" s="1" t="n"/>
      <c r="C1" s="1" t="n"/>
    </row>
    <row r="2" ht="75" customHeight="1">
      <c r="A2" s="2" t="inlineStr">
        <is>
          <t>ID</t>
        </is>
      </c>
      <c r="B2" s="2" t="inlineStr">
        <is>
          <t>Status da rodada</t>
        </is>
      </c>
      <c r="C2" s="2" t="inlineStr">
        <is>
          <t>Evidência / limite</t>
        </is>
      </c>
    </row>
    <row r="3" ht="75" customHeight="1">
      <c r="A3" s="2" t="inlineStr">
        <is>
          <t>IA-02</t>
        </is>
      </c>
      <c r="B3" s="2" t="inlineStr">
        <is>
          <t>Concluído</t>
        </is>
      </c>
      <c r="C3" s="2" t="inlineStr">
        <is>
          <t>Contrato v1 nas ferramentas históricas, espaciais, janela e clima; projeção das evidências antigas explicita qualidade e versões desconhecidas. app/evidence_contract.py; docs/analises-conversacionais.md.</t>
        </is>
      </c>
    </row>
    <row r="4" ht="75" customHeight="1">
      <c r="A4" s="2" t="inlineStr">
        <is>
          <t>IA-03</t>
        </is>
      </c>
      <c r="B4" s="2" t="inlineStr">
        <is>
          <t>Concluído</t>
        </is>
      </c>
      <c r="C4" s="2" t="inlineStr">
        <is>
          <t>Ferramentas executam resultados locais sem provedor; recibos persistentes com ID e estado final, erros explícitos e GET /api/assistant/work/{id}. app/analytical_assistant.py; testes e demonstração real salvos.</t>
        </is>
      </c>
    </row>
    <row r="5" ht="75" customHeight="1">
      <c r="A5" s="2" t="inlineStr">
        <is>
          <t>IA-04</t>
        </is>
      </c>
      <c r="B5" s="2" t="inlineStr">
        <is>
          <t>Concluído</t>
        </is>
      </c>
      <c r="C5" s="2" t="inlineStr">
        <is>
          <t>Contexto opaco por até 24h, seleção atual prevalece; cultura/safra/corte explícitos preservados na interface. Testes de mudança de área, corte e safra passaram. app/conversation_context.py.</t>
        </is>
      </c>
    </row>
    <row r="6" ht="75" customHeight="1">
      <c r="A6" s="2" t="inlineStr">
        <is>
          <t>IA-05</t>
        </is>
      </c>
      <c r="B6" s="2" t="inlineStr">
        <is>
          <t>Concluído</t>
        </is>
      </c>
      <c r="C6" s="2" t="inlineStr">
        <is>
          <t>Comparação sazonal exposta na conversa; cobertura e anos insuficientes ficam inconclusivos. Referência real: 4 observações recentes, seis anos comparáveis. data/outputs/assistant/offline-evaluation.json.</t>
        </is>
      </c>
    </row>
    <row r="7" ht="75" customHeight="1">
      <c r="A7" s="2" t="inlineStr">
        <is>
          <t>IA-06</t>
        </is>
      </c>
      <c r="B7" s="2" t="inlineStr">
        <is>
          <t>Concluído</t>
        </is>
      </c>
      <c r="C7" s="2" t="inlineStr">
        <is>
          <t>Direção usa resultado espacial salvo ou recalcula três rasters exatos locais. Informa setores/datas ou ausência de direção. Caso real não detectou direção; teste com frente datada passou. app/local_spatial.py.</t>
        </is>
      </c>
    </row>
    <row r="8" ht="75" customHeight="1">
      <c r="A8" s="2" t="inlineStr">
        <is>
          <t>IA-07</t>
        </is>
      </c>
      <c r="B8" s="2" t="inlineStr">
        <is>
          <t>Concluído</t>
        </is>
      </c>
      <c r="C8" s="2" t="inlineStr">
        <is>
          <t>Declaração pela conversa com datas e origem, histórico imutável, cultura/safra, comparação dentro/fora e declaração retrospectiva. Não presume calendário oficial. Testes passaram.</t>
        </is>
      </c>
    </row>
    <row r="9" ht="75" customHeight="1">
      <c r="A9" s="2" t="inlineStr">
        <is>
          <t>IA-08</t>
        </is>
      </c>
      <c r="B9" s="2" t="inlineStr">
        <is>
          <t>Concluído</t>
        </is>
      </c>
      <c r="C9" s="2" t="inlineStr">
        <is>
          <t>Síntese separa medições, hipóteses/alternativas, divergências, lacunas e verificação seguinte. Nenhuma trajetória de máquina é inferida; clima em cache pode complementar. Demonstração real salva.</t>
        </is>
      </c>
    </row>
    <row r="10" ht="75" customHeight="1">
      <c r="A10" s="2" t="inlineStr">
        <is>
          <t>IA-09</t>
        </is>
      </c>
      <c r="B10" s="2" t="inlineStr">
        <is>
          <t>Concluído</t>
        </is>
      </c>
      <c r="C10" s="2" t="inlineStr">
        <is>
          <t>Avaliação técnica offline salva com regressão completa e quatro casos sobre o histórico real; inclui ausência de direção, lacunas, baixa cobertura e fora da janela. data/outputs/assistant/offline-evaluation.json.</t>
        </is>
      </c>
    </row>
    <row r="11" ht="75" customHeight="1">
      <c r="A11" s="2" t="inlineStr">
        <is>
          <t>IA-10</t>
        </is>
      </c>
      <c r="B11" s="2" t="inlineStr">
        <is>
          <t>Concluído</t>
        </is>
      </c>
      <c r="C11" s="2" t="inlineStr">
        <is>
          <t>NASA POWER selecionada: reanálise de grade 0,5° × 0,625°, diária UTC, chuva mm/dia e temperatura °C; origem, política de uso/citação, revisões e disponibilidade documentadas em analises-conversacionais.md.</t>
        </is>
      </c>
    </row>
    <row r="12" ht="75" customHeight="1">
      <c r="A12" s="2" t="inlineStr">
        <is>
          <t>IA-11</t>
        </is>
      </c>
      <c r="B12" s="2" t="inlineStr">
        <is>
          <t>Concluído</t>
        </is>
      </c>
      <c r="C12" s="2" t="inlineStr">
        <is>
          <t>Adaptador NASA POWER com cache por célula/período, unidades verificadas, sentinelas e lacunas. Consulta real de 30 dias e cruzamento com janelas NDVI; distingue grade de estação/previsão. app/weather.py.</t>
        </is>
      </c>
    </row>
    <row r="13" ht="75" customHeight="1">
      <c r="A13" s="2" t="inlineStr">
        <is>
          <t>IA-12</t>
        </is>
      </c>
      <c r="B13" s="2" t="inlineStr">
        <is>
          <t>Concluído</t>
        </is>
      </c>
      <c r="C13" s="2" t="inlineStr">
        <is>
          <t>Busca web restrita ao portal oficial Embrapa, até três páginas efetivamente recuperadas, links, hashes, cache e registro da consulta. Conteúdo tratado como dado. Não equivale a busca web irrestrita nem revisão do texto integral. app/reference_search.py.</t>
        </is>
      </c>
    </row>
    <row r="14" ht="75" customHeight="1">
      <c r="A14" s="2" t="inlineStr">
        <is>
          <t>IA-13</t>
        </is>
      </c>
      <c r="B14" s="2" t="inlineStr">
        <is>
          <t>Em andamento</t>
        </is>
      </c>
      <c r="C14" s="2" t="inlineStr">
        <is>
          <t>Importador e comparação regional implementados/testados, com origem, cultura, safra, região, vigência e tipos separados. Portaria oficial MT 2026/27 localizada. Sem carga de intervalos aplicáveis: condições do talhão ainda desconhecidas. app/regional_calendar.py.</t>
        </is>
      </c>
    </row>
    <row r="15" ht="75" customHeight="1">
      <c r="A15" s="2" t="inlineStr">
        <is>
          <t>IA-14</t>
        </is>
      </c>
      <c r="B15" s="2" t="inlineStr">
        <is>
          <t>Bloqueado</t>
        </is>
      </c>
      <c r="C15" s="2" t="inlineStr">
        <is>
          <t>Token presente no .env, sem exposição de conteúdo. Consulta real em Polygon local compatível retornou HTTP 401; nenhum dado SATVeg foi simulado. data/outputs/assistant/satveg-access.json.</t>
        </is>
      </c>
    </row>
    <row r="16" ht="75" customHeight="1">
      <c r="A16" s="2" t="inlineStr">
        <is>
          <t>IA-18</t>
        </is>
      </c>
      <c r="B16" s="2" t="inlineStr">
        <is>
          <t>Bloqueado</t>
        </is>
      </c>
      <c r="C16" s="2" t="inlineStr">
        <is>
          <t>Clima disponível em IA-11. Fusão e medição de ganho continuam sem bandas Sentinel-1/2 compatíveis e validação. Respeitada restrição de novas consultas Sentinel até novembro.</t>
        </is>
      </c>
    </row>
    <row r="17" ht="75" customHeight="1">
      <c r="A17" s="2" t="inlineStr">
        <is>
          <t>IA-19</t>
        </is>
      </c>
      <c r="B17" s="2" t="inlineStr">
        <is>
          <t>Concluído</t>
        </is>
      </c>
      <c r="C17" s="2" t="inlineStr">
        <is>
          <t>Experimento real versionado: 226 janelas, 158 iniciais e 68 posteriores, KMeans k=2/3/4, sementes e bibliotecas registradas; silhouette, estabilidade e distâncias. Sem rótulos de manejo nem promoção automática. app/ml_experiment.py; data/outputs/experiments/ml.</t>
        </is>
      </c>
    </row>
    <row r="18" ht="75" customHeight="1">
      <c r="A18" s="2" t="inlineStr">
        <is>
          <t>IA-20</t>
        </is>
      </c>
      <c r="B18" s="2" t="inlineStr">
        <is>
          <t>Concluído</t>
        </is>
      </c>
      <c r="C18" s="2" t="inlineStr">
        <is>
          <t>Comparação local nearest/bilinear/bicúbica em RGB; original 98×222, 21.248 pixels válidos. Hash antes/depois idêntico; máscara reaplicada. Sem super-resolução IA. data/outputs/experiments/ndvi; app/ndvi_visual_experiment.py.</t>
        </is>
      </c>
    </row>
    <row r="19" ht="75" customHeight="1">
      <c r="A19" s="2" t="inlineStr">
        <is>
          <t>IA-24</t>
        </is>
      </c>
      <c r="B19" s="2" t="inlineStr">
        <is>
          <t>Em andamento</t>
        </is>
      </c>
      <c r="C19" s="2" t="inlineStr">
        <is>
          <t>Fila durável local com migration 5, worker separado, deduplicação, reservas renováveis, retomada e proteção contra conclusão obsoleta. Testes de concorrência/reinício e smoke HTTP→worker→resultado passaram. Coletores externos ainda não migrados. docs/operacao-local.md.</t>
        </is>
      </c>
    </row>
    <row r="20" ht="75" customHeight="1">
      <c r="A20" s="2" t="inlineStr">
        <is>
          <t>IA-25</t>
        </is>
      </c>
      <c r="B20" s="2" t="inlineStr">
        <is>
          <t>Em andamento</t>
        </is>
      </c>
      <c r="C20" s="2" t="inlineStr">
        <is>
          <t>Modelo de identidade/propriedade e testes de autorização necessários documentados. Login, isolamento e autorização em endpoints/arquivos/workers ainda não implementados. Não atribuir dados antigos ao primeiro usuário. docs/operacao-local.md.</t>
        </is>
      </c>
    </row>
    <row r="21" ht="75" customHeight="1">
      <c r="A21" s="2" t="inlineStr">
        <is>
          <t>IA-26</t>
        </is>
      </c>
      <c r="B21" s="2" t="inlineStr">
        <is>
          <t>Em andamento</t>
        </is>
      </c>
      <c r="C21" s="2" t="inlineStr">
        <is>
          <t>Backup core real restaurado em pasta nova: 61 arquivos, integridade, hashes e contagens por tabela conferidos. Endpoint de saúde e métricas locais; dependências fixadas e receita Docker/Compose. Docker ausente: ambiente Linux não homologado. docs/operacao-local.md.</t>
        </is>
      </c>
    </row>
    <row r="22" ht="75" customHeight="1">
      <c r="A22" s="2" t="inlineStr">
        <is>
          <t>IA-27</t>
        </is>
      </c>
      <c r="B22" s="2" t="inlineStr">
        <is>
          <t>Em revisão</t>
        </is>
      </c>
      <c r="C22" s="2" t="inlineStr">
        <is>
          <t>Quatro conversas reais locais salvas; clima e pesquisa Embrapa validados externamente, navegação/layout verificados no navegador. Resultado técnico pronto para revisão humana; nenhuma revisão de Andressa presumida. data/outputs/assistant/offline-evaluation.json.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34" customWidth="1" min="3" max="3"/>
    <col width="45" customWidth="1" min="4" max="4"/>
    <col width="35" customWidth="1" min="5" max="5"/>
    <col width="65" customWidth="1" min="6" max="6"/>
    <col width="55" customWidth="1" min="7" max="7"/>
    <col width="65" customWidth="1" min="8" max="8"/>
    <col width="55" customWidth="1" min="9" max="9"/>
    <col width="28" customWidth="1" min="10" max="10"/>
    <col width="35" customWidth="1" min="11" max="11"/>
  </cols>
  <sheetData>
    <row r="1">
      <c r="A1" s="6" t="inlineStr">
        <is>
          <t>Tema</t>
        </is>
      </c>
      <c r="B1" s="6" t="inlineStr">
        <is>
          <t>Grupo</t>
        </is>
      </c>
      <c r="C1" s="6" t="inlineStr">
        <is>
          <t>Etapa / manejo</t>
        </is>
      </c>
      <c r="D1" s="6" t="inlineStr">
        <is>
          <t>Pergunta</t>
        </is>
      </c>
      <c r="E1" s="6" t="inlineStr">
        <is>
          <t>Objetivo</t>
        </is>
      </c>
      <c r="F1" s="6" t="inlineStr">
        <is>
          <t>Proposta no sistema</t>
        </is>
      </c>
      <c r="G1" s="6" t="inlineStr">
        <is>
          <t>Dados de campo</t>
        </is>
      </c>
      <c r="H1" s="6" t="inlineStr">
        <is>
          <t>Limite</t>
        </is>
      </c>
      <c r="I1" s="6" t="inlineStr">
        <is>
          <t>Fontes</t>
        </is>
      </c>
      <c r="J1" s="6" t="inlineStr">
        <is>
          <t>Tarefas</t>
        </is>
      </c>
      <c r="K1" s="6" t="inlineStr">
        <is>
          <t>Situação</t>
        </is>
      </c>
    </row>
    <row r="2" ht="120" customHeight="1">
      <c r="A2" s="2" t="inlineStr">
        <is>
          <t>planning</t>
        </is>
      </c>
      <c r="B2" s="2" t="inlineStr">
        <is>
          <t>Antes do plantio</t>
        </is>
      </c>
      <c r="C2" s="2" t="inlineStr">
        <is>
          <t>Planejamento da safra e rotação</t>
        </is>
      </c>
      <c r="D2" s="2" t="inlineStr">
        <is>
          <t>Qual cultura e safra estamos acompanhando neste recorte?</t>
        </is>
      </c>
      <c r="E2" s="2" t="inlineStr">
        <is>
          <t>Organizar área, sequência de culturas e recursos.</t>
        </is>
      </c>
      <c r="F2" s="2" t="inlineStr">
        <is>
          <t>Relacionar geometria, safra, histórico e eventos; manter custos como registros do produtor.</t>
        </is>
      </c>
      <c r="G2" s="2" t="inlineStr">
        <is>
          <t>Histórico de culturas, plano de rotação, orçamento e restrições de uso.</t>
        </is>
      </c>
      <c r="H2" s="2" t="inlineStr">
        <is>
          <t>Imagem de soja histórica não confirma soja atual nem área legalmente disponível.</t>
        </is>
      </c>
      <c r="I2" s="2" t="inlineStr">
        <is>
          <t>https://www.infoteca.cnptia.embrapa.br/handle/doc/1123928</t>
        </is>
      </c>
      <c r="J2" s="2" t="inlineStr">
        <is>
          <t>IA-04; IA-30; IA-31</t>
        </is>
      </c>
      <c r="K2" s="2" t="inlineStr">
        <is>
          <t>Pesquisa inicial · não é diagnóstico</t>
        </is>
      </c>
    </row>
    <row r="3" ht="120" customHeight="1">
      <c r="A3" s="2" t="inlineStr">
        <is>
          <t>window</t>
        </is>
      </c>
      <c r="B3" s="2" t="inlineStr">
        <is>
          <t>Antes do plantio</t>
        </is>
      </c>
      <c r="C3" s="2" t="inlineStr">
        <is>
          <t>Janela sanitária e ZARC</t>
        </is>
      </c>
      <c r="D3" s="2" t="inlineStr">
        <is>
          <t>A data pretendida atende ao calendário e ao ZARC desta área?</t>
        </is>
      </c>
      <c r="E3" s="2" t="inlineStr">
        <is>
          <t>Verificar o período aplicável à semeadura.</t>
        </is>
      </c>
      <c r="F3" s="2" t="inlineStr">
        <is>
          <t>Planejado: conclusão dentro/fora/pendente, mantendo calendário sanitário, referência agronômica e janela declarada separados.</t>
        </is>
      </c>
      <c r="G3" s="2" t="inlineStr">
        <is>
          <t>Município, safra, tipo de solo, grupo de cultivar, manejo e nível de risco.</t>
        </is>
      </c>
      <c r="H3" s="2" t="inlineStr">
        <is>
          <t>Sentinel-1 e NDVI não determinam a janela oficial. Dados atuais ainda são declarações do usuário na avaliação de plantio.</t>
        </is>
      </c>
      <c r="I3" s="2" t="inlineStr">
        <is>
          <t>https://www.gov.br/agricultura/pt-br/assuntos/riscos-seguro/programa-nacional-de-zoneamento-agricola-de-risco-climatico/zoneamento-agricola</t>
        </is>
      </c>
      <c r="J3" s="2" t="inlineStr">
        <is>
          <t>IA-13; IA-29</t>
        </is>
      </c>
      <c r="K3" s="2" t="inlineStr">
        <is>
          <t>Pesquisa inicial · não é diagnóstico</t>
        </is>
      </c>
    </row>
    <row r="4" ht="120" customHeight="1">
      <c r="A4" s="2" t="inlineStr">
        <is>
          <t>soil-analysis</t>
        </is>
      </c>
      <c r="B4" s="2" t="inlineStr">
        <is>
          <t>Antes do plantio</t>
        </is>
      </c>
      <c r="C4" s="2" t="inlineStr">
        <is>
          <t>Amostragem e análise do solo</t>
        </is>
      </c>
      <c r="D4" s="2" t="inlineStr">
        <is>
          <t>Existe análise de solo representativa e atual?</t>
        </is>
      </c>
      <c r="E4" s="2" t="inlineStr">
        <is>
          <t>Conhecer a condição física e química.</t>
        </is>
      </c>
      <c r="F4" s="2" t="inlineStr">
        <is>
          <t>Planejado: associar laudos, pontos de amostragem, datas e pendências ao talhão.</t>
        </is>
      </c>
      <c r="G4" s="2" t="inlineStr">
        <is>
          <t>Laudo, textura, acidez, nutrientes e avaliação de compactação.</t>
        </is>
      </c>
      <c r="H4" s="2" t="inlineStr">
        <is>
          <t>NDVI e radar não substituem análise de fertilidade nem medem pH diretamente.</t>
        </is>
      </c>
      <c r="I4" s="2" t="inlineStr">
        <is>
          <t>https://www.infoteca.cnptia.embrapa.br/handle/doc/1123928</t>
        </is>
      </c>
      <c r="J4" s="2" t="inlineStr">
        <is>
          <t>IA-29; IA-31</t>
        </is>
      </c>
      <c r="K4" s="2" t="inlineStr">
        <is>
          <t>Pesquisa inicial · não é diagnóstico</t>
        </is>
      </c>
    </row>
    <row r="5" ht="120" customHeight="1">
      <c r="A5" s="2" t="inlineStr">
        <is>
          <t>soil-management</t>
        </is>
      </c>
      <c r="B5" s="2" t="inlineStr">
        <is>
          <t>Antes do plantio</t>
        </is>
      </c>
      <c r="C5" s="2" t="inlineStr">
        <is>
          <t>Correção, conservação e cobertura do solo</t>
        </is>
      </c>
      <c r="D5" s="2" t="inlineStr">
        <is>
          <t>As correções e a conservação foram verificadas?</t>
        </is>
      </c>
      <c r="E5" s="2" t="inlineStr">
        <is>
          <t>Preparar o sistema de manejo do solo.</t>
        </is>
      </c>
      <c r="F5" s="2" t="inlineStr">
        <is>
          <t>Planejado: registrar operações e procurar mudanças espaciais a conferir em campo.</t>
        </is>
      </c>
      <c r="G5" s="2" t="inlineStr">
        <is>
          <t>Recomendação técnica, operações realizadas, palhada, erosão e drenagem.</t>
        </is>
      </c>
      <c r="H5" s="2" t="inlineStr">
        <is>
          <t>Mudança no radar também pode ser rugosidade ou umidade; não comprova preparo.</t>
        </is>
      </c>
      <c r="I5" s="2" t="inlineStr">
        <is>
          <t>https://www.infoteca.cnptia.embrapa.br/handle/doc/1123928
https://knowledge-hub-gda.esa.int/eo_capability/soil-moisture/</t>
        </is>
      </c>
      <c r="J5" s="2" t="inlineStr">
        <is>
          <t>IA-17; IA-29; IA-31</t>
        </is>
      </c>
      <c r="K5" s="2" t="inlineStr">
        <is>
          <t>Pesquisa inicial · não é diagnóstico</t>
        </is>
      </c>
    </row>
    <row r="6" ht="120" customHeight="1">
      <c r="A6" s="2" t="inlineStr">
        <is>
          <t>seeds</t>
        </is>
      </c>
      <c r="B6" s="2" t="inlineStr">
        <is>
          <t>Antes do plantio</t>
        </is>
      </c>
      <c r="C6" s="2" t="inlineStr">
        <is>
          <t>Cultivar e qualidade das sementes</t>
        </is>
      </c>
      <c r="D6" s="2" t="inlineStr">
        <is>
          <t>A cultivar e o lote estão identificados?</t>
        </is>
      </c>
      <c r="E6" s="2" t="inlineStr">
        <is>
          <t>Escolher material adequado ao sistema local.</t>
        </is>
      </c>
      <c r="F6" s="2" t="inlineStr">
        <is>
          <t>Planejado: vincular grupo de cultivar e documentos do lote à safra e ao ZARC.</t>
        </is>
      </c>
      <c r="G6" s="2" t="inlineStr">
        <is>
          <t>Cultivar, lote, germinação, vigor e destino da produção.</t>
        </is>
      </c>
      <c r="H6" s="2" t="inlineStr">
        <is>
          <t>Satélites não comprovam cultivar, vigor ou qualidade sanitária da semente.</t>
        </is>
      </c>
      <c r="I6" s="2" t="inlineStr">
        <is>
          <t>https://www.infoteca.cnptia.embrapa.br/handle/doc/1123928
https://www.gov.br/agricultura/pt-br/assuntos/riscos-seguro/programa-nacional-de-zoneamento-agricola-de-risco-climatico/zoneamento-agricola</t>
        </is>
      </c>
      <c r="J6" s="2" t="inlineStr">
        <is>
          <t>IA-13; IA-31</t>
        </is>
      </c>
      <c r="K6" s="2" t="inlineStr">
        <is>
          <t>Pesquisa inicial · não é diagnóstico</t>
        </is>
      </c>
    </row>
    <row r="7" ht="120" customHeight="1">
      <c r="A7" s="2" t="inlineStr">
        <is>
          <t>inoculation</t>
        </is>
      </c>
      <c r="B7" s="2" t="inlineStr">
        <is>
          <t>Antes do plantio</t>
        </is>
      </c>
      <c r="C7" s="2" t="inlineStr">
        <is>
          <t>Tratamento de sementes e inoculação</t>
        </is>
      </c>
      <c r="D7" s="2" t="inlineStr">
        <is>
          <t>O tratamento e a inoculação foram registrados?</t>
        </is>
      </c>
      <c r="E7" s="2" t="inlineStr">
        <is>
          <t>Registrar cuidados e fixação biológica de nitrogênio.</t>
        </is>
      </c>
      <c r="F7" s="2" t="inlineStr">
        <is>
          <t>Planejado: registrar data, origem e operação; não inferir aplicação pelo sinal do satélite.</t>
        </is>
      </c>
      <c r="G7" s="2" t="inlineStr">
        <is>
          <t>Registros do lote, produtos utilizados e avaliação de nodulação.</t>
        </is>
      </c>
      <c r="H7" s="2" t="inlineStr">
        <is>
          <t>Não indicar dose ou produto automaticamente; nodulação exige avaliação das raízes.</t>
        </is>
      </c>
      <c r="I7" s="2" t="inlineStr">
        <is>
          <t>https://www.infoteca.cnptia.embrapa.br/handle/doc/1123928</t>
        </is>
      </c>
      <c r="J7" s="2" t="inlineStr">
        <is>
          <t>IA-22; IA-31</t>
        </is>
      </c>
      <c r="K7" s="2" t="inlineStr">
        <is>
          <t>Pesquisa inicial · não é diagnóstico</t>
        </is>
      </c>
    </row>
    <row r="8" ht="120" customHeight="1">
      <c r="A8" s="2" t="inlineStr">
        <is>
          <t>preplant</t>
        </is>
      </c>
      <c r="B8" s="2" t="inlineStr">
        <is>
          <t>Antes do plantio</t>
        </is>
      </c>
      <c r="C8" s="2" t="inlineStr">
        <is>
          <t>Manejo da cobertura antes da semeadura</t>
        </is>
      </c>
      <c r="D8" s="2" t="inlineStr">
        <is>
          <t>O que ocupa a área antes da semeadura?</t>
        </is>
      </c>
      <c r="E8" s="2" t="inlineStr">
        <is>
          <t>Organizar a vegetação anterior à cultura.</t>
        </is>
      </c>
      <c r="F8" s="2" t="inlineStr">
        <is>
          <t>Comparar cobertura e manchas; relacionar reduções a eventos declarados.</t>
        </is>
      </c>
      <c r="G8" s="2" t="inlineStr">
        <is>
          <t>Espécies presentes, cobertura, operações e respectivas datas.</t>
        </is>
      </c>
      <c r="H8" s="2" t="inlineStr">
        <is>
          <t>Queda do NDVI não confirma dessecação, produto aplicado ou ausência de plantas daninhas.</t>
        </is>
      </c>
      <c r="I8" s="2" t="inlineStr">
        <is>
          <t>https://www.infoteca.cnptia.embrapa.br/handle/doc/1123928</t>
        </is>
      </c>
      <c r="J8" s="2" t="inlineStr">
        <is>
          <t>IA-06; IA-31</t>
        </is>
      </c>
      <c r="K8" s="2" t="inlineStr">
        <is>
          <t>Pesquisa inicial · não é diagnóstico</t>
        </is>
      </c>
    </row>
    <row r="9" ht="120" customHeight="1">
      <c r="A9" s="2" t="inlineStr">
        <is>
          <t>sowing</t>
        </is>
      </c>
      <c r="B9" s="2" t="inlineStr">
        <is>
          <t>Implantação</t>
        </is>
      </c>
      <c r="C9" s="2" t="inlineStr">
        <is>
          <t>Condição e execução da semeadura</t>
        </is>
      </c>
      <c r="D9" s="2" t="inlineStr">
        <is>
          <t>Há condição para programar a semeadura?</t>
        </is>
      </c>
      <c r="E9" s="2" t="inlineStr">
        <is>
          <t>Estabelecer a cultura com condições adequadas.</t>
        </is>
      </c>
      <c r="F9" s="2" t="inlineStr">
        <is>
          <t>Já disponível: triagem de clima e solo estimado. Planejado: integrar janela oficial e radar à conclusão.</t>
        </is>
      </c>
      <c r="G9" s="2" t="inlineStr">
        <is>
          <t>Umidade na semente, temperatura, contato solo-semente, regulagem, população e data real.</t>
        </is>
      </c>
      <c r="H9" s="2" t="inlineStr">
        <is>
          <t>Estimativa meteorológica não comprova aptidão física local; radar ainda não está integrado.</t>
        </is>
      </c>
      <c r="I9" s="2" t="inlineStr">
        <is>
          <t>https://www.embrapa.br/en/web/agencia-de-informacao-tecnologica/cultivos/soja/pre-producao/instalacao-da-lavoura/aspectos-a-serem-considerados
https://documentation.dataspace.copernicus.eu/APIs/SentinelHub/Data/S1GRD.html
https://knowledge-hub-gda.esa.int/eo_capability/soil-moisture/</t>
        </is>
      </c>
      <c r="J9" s="2" t="inlineStr">
        <is>
          <t>IA-17; IA-29</t>
        </is>
      </c>
      <c r="K9" s="2" t="inlineStr">
        <is>
          <t>Pesquisa inicial · não é diagnóstico</t>
        </is>
      </c>
    </row>
    <row r="10" ht="120" customHeight="1">
      <c r="A10" s="2" t="inlineStr">
        <is>
          <t>establishment</t>
        </is>
      </c>
      <c r="B10" s="2" t="inlineStr">
        <is>
          <t>Implantação</t>
        </is>
      </c>
      <c r="C10" s="2" t="inlineStr">
        <is>
          <t>Estabelecimento e estande · VE/VC</t>
        </is>
      </c>
      <c r="D10" s="2" t="inlineStr">
        <is>
          <t>O aumento do verde é uniforme ou há falhas?</t>
        </is>
      </c>
      <c r="E10" s="2" t="inlineStr">
        <is>
          <t>Conferir implantação e uniformidade das plantas.</t>
        </is>
      </c>
      <c r="F10" s="2" t="inlineStr">
        <is>
          <t>Já disponível: sinal de possível plantio ou rebrota e manchas de ganho. Planejado: relacionar essas evidências ao estande registrado.</t>
        </is>
      </c>
      <c r="G10" s="2" t="inlineStr">
        <is>
          <t>Contagem de plantas, falhas, espécie e data de semeadura.</t>
        </is>
      </c>
      <c r="H10" s="2" t="inlineStr">
        <is>
          <t>VE/VC são estádios técnicos para observação de campo. O sinal automático permanece 'possível plantio ou rebrota'; não confirma estádio.</t>
        </is>
      </c>
      <c r="I10" s="2" t="inlineStr">
        <is>
          <t>https://bioinfo.cnpso.embrapa.br/seca/index.php?Itemid=435&amp;catid=84&amp;id=74:estadios-fenologicos&amp;option=com_content&amp;view=article</t>
        </is>
      </c>
      <c r="J10" s="2" t="inlineStr">
        <is>
          <t>IA-06; IA-22; IA-31</t>
        </is>
      </c>
      <c r="K10" s="2" t="inlineStr">
        <is>
          <t>Pesquisa inicial · não é diagnóstico</t>
        </is>
      </c>
    </row>
    <row r="11" ht="120" customHeight="1">
      <c r="A11" s="2" t="inlineStr">
        <is>
          <t>vegetative</t>
        </is>
      </c>
      <c r="B11" s="2" t="inlineStr">
        <is>
          <t>Desenvolvimento</t>
        </is>
      </c>
      <c r="C11" s="2" t="inlineStr">
        <is>
          <t>Crescimento vegetativo · V1 a Vn</t>
        </is>
      </c>
      <c r="D11" s="2" t="inlineStr">
        <is>
          <t>A cobertura evolui de forma homogênea?</t>
        </is>
      </c>
      <c r="E11" s="2" t="inlineStr">
        <is>
          <t>Acompanhar desenvolvimento dos nós e folhas.</t>
        </is>
      </c>
      <c r="F11" s="2" t="inlineStr">
        <is>
          <t>Comparar NDVI, faixa sazonal, organização das manchas e clima. Planejado: validar características com estádios de campo.</t>
        </is>
      </c>
      <c r="G11" s="2" t="inlineStr">
        <is>
          <t>Contagem de nós, altura, cobertura e observação da cultura.</t>
        </is>
      </c>
      <c r="H11" s="2" t="inlineStr">
        <is>
          <t>NDVI não conta nós; vigor alto não comprova ausência de problema.</t>
        </is>
      </c>
      <c r="I11" s="2" t="inlineStr">
        <is>
          <t>https://bioinfo.cnpso.embrapa.br/seca/index.php?Itemid=435&amp;catid=84&amp;id=74:estadios-fenologicos&amp;option=com_content&amp;view=article</t>
        </is>
      </c>
      <c r="J11" s="2" t="inlineStr">
        <is>
          <t>IA-05; IA-18; IA-31</t>
        </is>
      </c>
      <c r="K11" s="2" t="inlineStr">
        <is>
          <t>Pesquisa inicial · não é diagnóstico</t>
        </is>
      </c>
    </row>
    <row r="12" ht="120" customHeight="1">
      <c r="A12" s="2" t="inlineStr">
        <is>
          <t>flowering</t>
        </is>
      </c>
      <c r="B12" s="2" t="inlineStr">
        <is>
          <t>Reprodução</t>
        </is>
      </c>
      <c r="C12" s="2" t="inlineStr">
        <is>
          <t>Florescimento · R1/R2</t>
        </is>
      </c>
      <c r="D12" s="2" t="inlineStr">
        <is>
          <t>A fase foi confirmada e há condição hídrica a acompanhar?</t>
        </is>
      </c>
      <c r="E12" s="2" t="inlineStr">
        <is>
          <t>Observar o início e a progressão das flores.</t>
        </is>
      </c>
      <c r="F12" s="2" t="inlineStr">
        <is>
          <t>Planejado: associar confirmação de campo, clima e anomalias; emitir atenção com evidência datada.</t>
        </is>
      </c>
      <c r="G12" s="2" t="inlineStr">
        <is>
          <t>Flores observadas, cultivar e data da observação.</t>
        </is>
      </c>
      <c r="H12" s="2" t="inlineStr">
        <is>
          <t>Sem inspeção ou modelo validado, o sistema não identifica flores pelo NDVI.</t>
        </is>
      </c>
      <c r="I12" s="2" t="inlineStr">
        <is>
          <t>https://bioinfo.cnpso.embrapa.br/seca/index.php?Itemid=435&amp;catid=84&amp;id=74:estadios-fenologicos&amp;option=com_content&amp;view=article</t>
        </is>
      </c>
      <c r="J12" s="2" t="inlineStr">
        <is>
          <t>IA-18; IA-23; IA-31</t>
        </is>
      </c>
      <c r="K12" s="2" t="inlineStr">
        <is>
          <t>Pesquisa inicial · não é diagnóstico</t>
        </is>
      </c>
    </row>
    <row r="13" ht="120" customHeight="1">
      <c r="A13" s="2" t="inlineStr">
        <is>
          <t>pods</t>
        </is>
      </c>
      <c r="B13" s="2" t="inlineStr">
        <is>
          <t>Reprodução</t>
        </is>
      </c>
      <c r="C13" s="2" t="inlineStr">
        <is>
          <t>Formação de vagens · R3/R4</t>
        </is>
      </c>
      <c r="D13" s="2" t="inlineStr">
        <is>
          <t>Há vagens confirmadas e mudança de condição da área?</t>
        </is>
      </c>
      <c r="E13" s="2" t="inlineStr">
        <is>
          <t>Acompanhar desenvolvimento das vagens.</t>
        </is>
      </c>
      <c r="F13" s="2" t="inlineStr">
        <is>
          <t>Planejado: alinhar observações de vagens a clima, vigor e heterogeneidade espacial.</t>
        </is>
      </c>
      <c r="G13" s="2" t="inlineStr">
        <is>
          <t>Inspeção de vagens e registro do estádio.</t>
        </is>
      </c>
      <c r="H13" s="2" t="inlineStr">
        <is>
          <t>Satélites não contam vagens nem atribuem a causa de abortamento.</t>
        </is>
      </c>
      <c r="I13" s="2" t="inlineStr">
        <is>
          <t>https://bioinfo.cnpso.embrapa.br/seca/index.php?Itemid=435&amp;catid=84&amp;id=74:estadios-fenologicos&amp;option=com_content&amp;view=article</t>
        </is>
      </c>
      <c r="J13" s="2" t="inlineStr">
        <is>
          <t>IA-23; IA-31</t>
        </is>
      </c>
      <c r="K13" s="2" t="inlineStr">
        <is>
          <t>Pesquisa inicial · não é diagnóstico</t>
        </is>
      </c>
    </row>
    <row r="14" ht="120" customHeight="1">
      <c r="A14" s="2" t="inlineStr">
        <is>
          <t>grain-fill</t>
        </is>
      </c>
      <c r="B14" s="2" t="inlineStr">
        <is>
          <t>Reprodução</t>
        </is>
      </c>
      <c r="C14" s="2" t="inlineStr">
        <is>
          <t>Enchimento de grãos · R5/R6</t>
        </is>
      </c>
      <c r="D14" s="2" t="inlineStr">
        <is>
          <t>Há alteração de vigor durante a fase confirmada?</t>
        </is>
      </c>
      <c r="E14" s="2" t="inlineStr">
        <is>
          <t>Observar desenvolvimento dos grãos.</t>
        </is>
      </c>
      <c r="F14" s="2" t="inlineStr">
        <is>
          <t>Planejado: cruzar condição hídrica, anomalias de cobertura e registros da fase.</t>
        </is>
      </c>
      <c r="G14" s="2" t="inlineStr">
        <is>
          <t>Avaliação de grãos, estádio e condição das plantas.</t>
        </is>
      </c>
      <c r="H14" s="2" t="inlineStr">
        <is>
          <t>Índice de vegetação não mede diretamente massa ou produtividade dos grãos.</t>
        </is>
      </c>
      <c r="I14" s="2" t="inlineStr">
        <is>
          <t>https://bioinfo.cnpso.embrapa.br/seca/index.php?Itemid=435&amp;catid=84&amp;id=74:estadios-fenologicos&amp;option=com_content&amp;view=article</t>
        </is>
      </c>
      <c r="J14" s="2" t="inlineStr">
        <is>
          <t>IA-18; IA-23; IA-31</t>
        </is>
      </c>
      <c r="K14" s="2" t="inlineStr">
        <is>
          <t>Pesquisa inicial · não é diagnóstico</t>
        </is>
      </c>
    </row>
    <row r="15" ht="120" customHeight="1">
      <c r="A15" s="2" t="inlineStr">
        <is>
          <t>maturity</t>
        </is>
      </c>
      <c r="B15" s="2" t="inlineStr">
        <is>
          <t>Final do ciclo</t>
        </is>
      </c>
      <c r="C15" s="2" t="inlineStr">
        <is>
          <t>Maturação · R7/R8</t>
        </is>
      </c>
      <c r="D15" s="2" t="inlineStr">
        <is>
          <t>A queda de verde acompanha a fase observada?</t>
        </is>
      </c>
      <c r="E15" s="2" t="inlineStr">
        <is>
          <t>Acompanhar o amadurecimento da cultura.</t>
        </is>
      </c>
      <c r="F15" s="2" t="inlineStr">
        <is>
          <t>Planejado: comparar perda de verde com estádio confirmado e eventos da área.</t>
        </is>
      </c>
      <c r="G15" s="2" t="inlineStr">
        <is>
          <t>Cor de vagens, maturação e umidade dos grãos.</t>
        </is>
      </c>
      <c r="H15" s="2" t="inlineStr">
        <is>
          <t>Queda do NDVI isolada não distingue maturação, dessecação, doença ou colheita.</t>
        </is>
      </c>
      <c r="I15" s="2" t="inlineStr">
        <is>
          <t>https://bioinfo.cnpso.embrapa.br/seca/index.php?Itemid=435&amp;catid=84&amp;id=74:estadios-fenologicos&amp;option=com_content&amp;view=article</t>
        </is>
      </c>
      <c r="J15" s="2" t="inlineStr">
        <is>
          <t>IA-08; IA-23; IA-31</t>
        </is>
      </c>
      <c r="K15" s="2" t="inlineStr">
        <is>
          <t>Pesquisa inicial · não é diagnóstico</t>
        </is>
      </c>
    </row>
    <row r="16" ht="120" customHeight="1">
      <c r="A16" s="2" t="inlineStr">
        <is>
          <t>harvest</t>
        </is>
      </c>
      <c r="B16" s="2" t="inlineStr">
        <is>
          <t>Final do ciclo</t>
        </is>
      </c>
      <c r="C16" s="2" t="inlineStr">
        <is>
          <t>Colheita e perdas</t>
        </is>
      </c>
      <c r="D16" s="2" t="inlineStr">
        <is>
          <t>Que setores foram colhidos e quais perdas foram medidas?</t>
        </is>
      </c>
      <c r="E16" s="2" t="inlineStr">
        <is>
          <t>Acompanhar operação e perdas de grãos.</t>
        </is>
      </c>
      <c r="F16" s="2" t="inlineStr">
        <is>
          <t>Já há manchas e direção de redução vegetal quando detectáveis. Planejado: compará-las ao registro real da operação.</t>
        </is>
      </c>
      <c r="G16" s="2" t="inlineStr">
        <is>
          <t>Data, umidade, áreas colhidas, regulagem e medição de perdas.</t>
        </is>
      </c>
      <c r="H16" s="2" t="inlineStr">
        <is>
          <t>Uma flecha de mudança não é trajeto da máquina nem medição de perdas.</t>
        </is>
      </c>
      <c r="I16" s="2" t="inlineStr">
        <is>
          <t>https://www.infoteca.cnptia.embrapa.br/handle/doc/1123928</t>
        </is>
      </c>
      <c r="J16" s="2" t="inlineStr">
        <is>
          <t>IA-06; IA-22; IA-31</t>
        </is>
      </c>
      <c r="K16" s="2" t="inlineStr">
        <is>
          <t>Pesquisa inicial · não é diagnóstico</t>
        </is>
      </c>
    </row>
    <row r="17" ht="120" customHeight="1">
      <c r="A17" s="2" t="inlineStr">
        <is>
          <t>storage</t>
        </is>
      </c>
      <c r="B17" s="2" t="inlineStr">
        <is>
          <t>Final do ciclo</t>
        </is>
      </c>
      <c r="C17" s="2" t="inlineStr">
        <is>
          <t>Secagem, armazenamento e qualidade</t>
        </is>
      </c>
      <c r="D17" s="2" t="inlineStr">
        <is>
          <t>O lote foi acompanhado na unidade armazenadora?</t>
        </is>
      </c>
      <c r="E17" s="2" t="inlineStr">
        <is>
          <t>Preservar a qualidade do lote colhido.</t>
        </is>
      </c>
      <c r="F17" s="2" t="inlineStr">
        <is>
          <t>Planejado: relacionar lote, origem e medições da pós-colheita.</t>
        </is>
      </c>
      <c r="G17" s="2" t="inlineStr">
        <is>
          <t>Umidade, temperatura, secagem, danos e inspeções do lote.</t>
        </is>
      </c>
      <c r="H17" s="2" t="inlineStr">
        <is>
          <t>Sentinel-1 e Sentinel-2 não verificam qualidade interna de silos ou grãos.</t>
        </is>
      </c>
      <c r="I17" s="2" t="inlineStr">
        <is>
          <t>https://www.infoteca.cnptia.embrapa.br/infoteca/bitstream/doc/1155426/1/Circ-Tec-196.pdf</t>
        </is>
      </c>
      <c r="J17" s="2" t="inlineStr">
        <is>
          <t>IA-31</t>
        </is>
      </c>
      <c r="K17" s="2" t="inlineStr">
        <is>
          <t>Pesquisa inicial · não é diagnóstico</t>
        </is>
      </c>
    </row>
    <row r="18" ht="120" customHeight="1">
      <c r="A18" s="2" t="inlineStr">
        <is>
          <t>offseason</t>
        </is>
      </c>
      <c r="B18" s="2" t="inlineStr">
        <is>
          <t>Final do ciclo</t>
        </is>
      </c>
      <c r="C18" s="2" t="inlineStr">
        <is>
          <t>Entressafra, voluntárias e próxima rotação</t>
        </is>
      </c>
      <c r="D18" s="2" t="inlineStr">
        <is>
          <t>O verde posterior é cobertura planejada, rebrota ou plantas voluntárias?</t>
        </is>
      </c>
      <c r="E18" s="2" t="inlineStr">
        <is>
          <t>Organizar a continuidade do sistema produtivo.</t>
        </is>
      </c>
      <c r="F18" s="2" t="inlineStr">
        <is>
          <t>Comparar a sequência pós-colheita com eventos e imagens; manter hipóteses alternativas.</t>
        </is>
      </c>
      <c r="G18" s="2" t="inlineStr">
        <is>
          <t>Espécies presentes, manejo da cobertura e plano da próxima safra.</t>
        </is>
      </c>
      <c r="H18" s="2" t="inlineStr">
        <is>
          <t>Verde novo não comprova soja voluntária nem descumprimento de vazio sanitário.</t>
        </is>
      </c>
      <c r="I18" s="2" t="inlineStr">
        <is>
          <t>https://www.infoteca.cnptia.embrapa.br/handle/doc/1123928
https://www.gov.br/agricultura/pt-br/assuntos/riscos-seguro/programa-nacional-de-zoneamento-agricola-de-risco-climatico/zoneamento-agricola</t>
        </is>
      </c>
      <c r="J18" s="2" t="inlineStr">
        <is>
          <t>IA-13; IA-31</t>
        </is>
      </c>
      <c r="K18" s="2" t="inlineStr">
        <is>
          <t>Pesquisa inicial · não é diagnóstico</t>
        </is>
      </c>
    </row>
    <row r="19" ht="120" customHeight="1">
      <c r="A19" s="2" t="inlineStr">
        <is>
          <t>water</t>
        </is>
      </c>
      <c r="B19" s="2" t="inlineStr">
        <is>
          <t>Manejo ao longo do ciclo</t>
        </is>
      </c>
      <c r="C19" s="2" t="inlineStr">
        <is>
          <t>Água, clima e irrigação</t>
        </is>
      </c>
      <c r="D19" s="2" t="inlineStr">
        <is>
          <t>Há indícios de restrição hídrica a verificar?</t>
        </is>
      </c>
      <c r="E19" s="2" t="inlineStr">
        <is>
          <t>Acompanhar oferta e demanda hídrica.</t>
        </is>
      </c>
      <c r="F19" s="2" t="inlineStr">
        <is>
          <t>Já há chuva, previsão, solo modelado e chuva menos ET₀. Planejado: balanço parametrizado e apoio de radar.</t>
        </is>
      </c>
      <c r="G19" s="2" t="inlineStr">
        <is>
          <t>Textura, retenção de água, raízes, chuva local e irrigação aplicada.</t>
        </is>
      </c>
      <c r="H19" s="2" t="inlineStr">
        <is>
          <t>Chuva menos ET₀ não é balanço hídrico do talhão. Radar precisa separar umidade de vegetação e rugosidade.</t>
        </is>
      </c>
      <c r="I19" s="2" t="inlineStr">
        <is>
          <t>https://www.embrapa.br/en/web/agencia-de-informacao-tecnologica/cultivos/soja/pre-producao/instalacao-da-lavoura/aspectos-a-serem-considerados
https://knowledge-hub-gda.esa.int/eo_capability/soil-moisture/</t>
        </is>
      </c>
      <c r="J19" s="2" t="inlineStr">
        <is>
          <t>IA-11; IA-17; IA-18; IA-29</t>
        </is>
      </c>
      <c r="K19" s="2" t="inlineStr">
        <is>
          <t>Pesquisa inicial · não é diagnóstico</t>
        </is>
      </c>
    </row>
    <row r="20" ht="120" customHeight="1">
      <c r="A20" s="2" t="inlineStr">
        <is>
          <t>weeds</t>
        </is>
      </c>
      <c r="B20" s="2" t="inlineStr">
        <is>
          <t>Manejo ao longo do ciclo</t>
        </is>
      </c>
      <c r="C20" s="2" t="inlineStr">
        <is>
          <t>Plantas daninhas</t>
        </is>
      </c>
      <c r="D20" s="2" t="inlineStr">
        <is>
          <t>O aumento de verde pertence à cultura ou a outras plantas?</t>
        </is>
      </c>
      <c r="E20" s="2" t="inlineStr">
        <is>
          <t>Monitorar competição e escapes de manejo.</t>
        </is>
      </c>
      <c r="F20" s="2" t="inlineStr">
        <is>
          <t>Planejado: priorizar inspeção em manchas divergentes e vincular espécies registradas.</t>
        </is>
      </c>
      <c r="G20" s="2" t="inlineStr">
        <is>
          <t>Identificação de espécies, distribuição e observações de resistência.</t>
        </is>
      </c>
      <c r="H20" s="2" t="inlineStr">
        <is>
          <t>Mancha verde não identifica espécie nem autoriza tratamento.</t>
        </is>
      </c>
      <c r="I20" s="2" t="inlineStr">
        <is>
          <t>https://www.infoteca.cnptia.embrapa.br/handle/doc/1123928</t>
        </is>
      </c>
      <c r="J20" s="2" t="inlineStr">
        <is>
          <t>IA-22; IA-23; IA-31</t>
        </is>
      </c>
      <c r="K20" s="2" t="inlineStr">
        <is>
          <t>Pesquisa inicial · não é diagnóstico</t>
        </is>
      </c>
    </row>
    <row r="21" ht="120" customHeight="1">
      <c r="A21" s="2" t="inlineStr">
        <is>
          <t>pests</t>
        </is>
      </c>
      <c r="B21" s="2" t="inlineStr">
        <is>
          <t>Manejo ao longo do ciclo</t>
        </is>
      </c>
      <c r="C21" s="2" t="inlineStr">
        <is>
          <t>Manejo integrado de pragas</t>
        </is>
      </c>
      <c r="D21" s="2" t="inlineStr">
        <is>
          <t>Há amostragens que sustentem a decisão de manejo?</t>
        </is>
      </c>
      <c r="E21" s="2" t="inlineStr">
        <is>
          <t>Acompanhar ocorrência e danos por amostragem.</t>
        </is>
      </c>
      <c r="F21" s="2" t="inlineStr">
        <is>
          <t>Planejado: registrar amostras e destacar anomalias para vistoria.</t>
        </is>
      </c>
      <c r="G21" s="2" t="inlineStr">
        <is>
          <t>Praga identificada, contagem, dano, inimigos naturais e estádio.</t>
        </is>
      </c>
      <c r="H21" s="2" t="inlineStr">
        <is>
          <t>NDVI baixo não identifica inseto nem determina aplicação preventiva.</t>
        </is>
      </c>
      <c r="I21" s="2" t="inlineStr">
        <is>
          <t>https://www.infoteca.cnptia.embrapa.br/handle/doc/1123928</t>
        </is>
      </c>
      <c r="J21" s="2" t="inlineStr">
        <is>
          <t>IA-22; IA-23; IA-31</t>
        </is>
      </c>
      <c r="K21" s="2" t="inlineStr">
        <is>
          <t>Pesquisa inicial · não é diagnóstico</t>
        </is>
      </c>
    </row>
    <row r="22" ht="120" customHeight="1">
      <c r="A22" s="2" t="inlineStr">
        <is>
          <t>diseases</t>
        </is>
      </c>
      <c r="B22" s="2" t="inlineStr">
        <is>
          <t>Manejo ao longo do ciclo</t>
        </is>
      </c>
      <c r="C22" s="2" t="inlineStr">
        <is>
          <t>Doenças e nematoides</t>
        </is>
      </c>
      <c r="D22" s="2" t="inlineStr">
        <is>
          <t>A causa de uma mancha foi investigada?</t>
        </is>
      </c>
      <c r="E22" s="2" t="inlineStr">
        <is>
          <t>Relacionar sintomas e diagnóstico de campo.</t>
        </is>
      </c>
      <c r="F22" s="2" t="inlineStr">
        <is>
          <t>Planejado: acompanhar recorrência espacial e clima favorável a investigação, sem diagnóstico automático.</t>
        </is>
      </c>
      <c r="G22" s="2" t="inlineStr">
        <is>
          <t>Sintomas, inspeção, laudos e histórico sanitário.</t>
        </is>
      </c>
      <c r="H22" s="2" t="inlineStr">
        <is>
          <t>Anomalia espectral não distingue doença, nematoide, deficiência, seca ou compactação.</t>
        </is>
      </c>
      <c r="I22" s="2" t="inlineStr">
        <is>
          <t>https://www.infoteca.cnptia.embrapa.br/handle/doc/1123928</t>
        </is>
      </c>
      <c r="J22" s="2" t="inlineStr">
        <is>
          <t>IA-22; IA-23; IA-31</t>
        </is>
      </c>
      <c r="K22" s="2" t="inlineStr">
        <is>
          <t>Pesquisa inicial · não é diagnóstico</t>
        </is>
      </c>
    </row>
    <row r="23" ht="120" customHeight="1">
      <c r="A23" s="2" t="inlineStr">
        <is>
          <t>operations</t>
        </is>
      </c>
      <c r="B23" s="2" t="inlineStr">
        <is>
          <t>Manejo ao longo do ciclo</t>
        </is>
      </c>
      <c r="C23" s="2" t="inlineStr">
        <is>
          <t>Operações, aplicações e rastreabilidade</t>
        </is>
      </c>
      <c r="D23" s="2" t="inlineStr">
        <is>
          <t>O evento observado coincide com uma operação registrada?</t>
        </is>
      </c>
      <c r="E23" s="2" t="inlineStr">
        <is>
          <t>Registrar intervenções e suas condições.</t>
        </is>
      </c>
      <c r="F23" s="2" t="inlineStr">
        <is>
          <t>Planejado: histórico auditável de operações, dados meteorológicos e resultados posteriores.</t>
        </is>
      </c>
      <c r="G23" s="2" t="inlineStr">
        <is>
          <t>Operador, data, equipamento, condições e orientação técnica.</t>
        </is>
      </c>
      <c r="H23" s="2" t="inlineStr">
        <is>
          <t>Sem receituário automático, indicação de dose ou inferência de produto por imagem; regras vigentes devem ser conferidas.</t>
        </is>
      </c>
      <c r="I23" s="2" t="inlineStr">
        <is>
          <t>https://www.infoteca.cnptia.embrapa.br/handle/doc/1123928</t>
        </is>
      </c>
      <c r="J23" s="2" t="inlineStr">
        <is>
          <t>IA-02; IA-22; IA-31</t>
        </is>
      </c>
      <c r="K23" s="2" t="inlineStr">
        <is>
          <t>Pesquisa inicial · não é diagnóstico</t>
        </is>
      </c>
    </row>
  </sheetData>
  <autoFilter ref="A1:K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10" customWidth="1" min="3" max="3"/>
  </cols>
  <sheetData>
    <row r="1">
      <c r="A1" s="2" t="inlineStr">
        <is>
          <t>Data</t>
        </is>
      </c>
      <c r="B1" s="2" t="inlineStr">
        <is>
          <t>Escopo</t>
        </is>
      </c>
      <c r="C1" s="2" t="inlineStr">
        <is>
          <t>Estado / evidência</t>
        </is>
      </c>
    </row>
    <row r="2">
      <c r="A2" s="2" t="inlineStr">
        <is>
          <t>16/10/2026</t>
        </is>
      </c>
      <c r="B2" s="2" t="inlineStr">
        <is>
          <t>Janela oficial e ZARC na conclusão</t>
        </is>
      </c>
      <c r="C2" s="2" t="inlineStr">
        <is>
          <t>Planejado · IA-13 e IA-29 · Identificar município e safra; cruzar calendário sanitário e ZARC com solo, cultivar, manejo e nível de risco. Se faltar condição aplicável, manter pendência.</t>
        </is>
      </c>
    </row>
    <row r="3">
      <c r="A3" s="2" t="inlineStr">
        <is>
          <t>16/10/2026</t>
        </is>
      </c>
      <c r="B3" s="2" t="inlineStr">
        <is>
          <t>Sentinel-1 para condição da superfície</t>
        </is>
      </c>
      <c r="C3" s="2" t="inlineStr">
        <is>
          <t>Pesquisa de integração · IA-17 e IA-18 · Validar séries radar compatíveis, alinhadas ao Sentinel-2 e à chuva, antes de interpretar mudança de umidade. Sem aquisição automática nesta rodada.</t>
        </is>
      </c>
    </row>
    <row r="4">
      <c r="A4" s="2" t="inlineStr">
        <is>
          <t>16/10/2026</t>
        </is>
      </c>
      <c r="B4" s="2" t="inlineStr">
        <is>
          <t>Acompanhamento de todo o ciclo</t>
        </is>
      </c>
      <c r="C4" s="2" t="inlineStr">
        <is>
          <t>Catálogo inicial disponível · IA-30 e IA-31 · Definir dados, regras e casos de validação por etapa. O catálogo não significa que a etapa já é reconhecida pelo sistema.</t>
        </is>
      </c>
    </row>
    <row r="5">
      <c r="A5" s="2" t="inlineStr">
        <is>
          <t>16/10/2026</t>
        </is>
      </c>
      <c r="B5" s="2" t="inlineStr">
        <is>
          <t>Limite</t>
        </is>
      </c>
      <c r="C5" s="2" t="inlineStr">
        <is>
          <t>Pesquisa inicial; nenhum treinamento ou diagnóstico por etapa concluído. Sem aquisição Sentinel nesta rodada.</t>
        </is>
      </c>
    </row>
    <row r="6">
      <c r="A6" s="2" t="inlineStr">
        <is>
          <t>16/10/2026</t>
        </is>
      </c>
      <c r="B6" s="2" t="inlineStr">
        <is>
          <t>Referência</t>
        </is>
      </c>
      <c r="C6" s="2" t="inlineStr">
        <is>
          <t>docs/rodada-2026-10-16-soja.md; docs/ciclo-soja-estudo.md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2026-10-15T23:56:02Z</dcterms:created>
  <dcterms:modified xsi:type="dcterms:W3CDTF">2026-10-16T06:19:57Z</dcterms:modified>
</cp:coreProperties>
</file>